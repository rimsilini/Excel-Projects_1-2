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rimsi\Desktop\Data Analysis\excel\Project\"/>
    </mc:Choice>
  </mc:AlternateContent>
  <xr:revisionPtr revIDLastSave="0" documentId="13_ncr:1_{9B82E33F-D534-4E7D-9474-A9F053D71C66}" xr6:coauthVersionLast="47" xr6:coauthVersionMax="47" xr10:uidLastSave="{00000000-0000-0000-0000-000000000000}"/>
  <bookViews>
    <workbookView xWindow="-108" yWindow="-108" windowWidth="23256" windowHeight="12456" firstSheet="2" activeTab="3" xr2:uid="{B44C8530-F78C-46B5-AC3A-4178A17044AF}"/>
  </bookViews>
  <sheets>
    <sheet name="raw_data" sheetId="1" state="hidden" r:id="rId1"/>
    <sheet name="program_cost_model" sheetId="2" state="hidden" r:id="rId2"/>
    <sheet name="Intro" sheetId="13" r:id="rId3"/>
    <sheet name="Dashboard" sheetId="6" r:id="rId4"/>
    <sheet name="scenario_multipliers" sheetId="3" state="hidden" r:id="rId5"/>
    <sheet name="validation" sheetId="5" state="hidden" r:id="rId6"/>
    <sheet name="Scenario Analysis" sheetId="12" r:id="rId7"/>
    <sheet name="Calcul" sheetId="11" state="hidden" r:id="rId8"/>
    <sheet name="pivots" sheetId="8" state="hidden" r:id="rId9"/>
  </sheets>
  <definedNames>
    <definedName name="_xlcn.WorksheetConnection_Project2pivotscenariosversion1.xlsbcosts" hidden="1">costs[]</definedName>
    <definedName name="_xlcn.WorksheetConnection_Project2pivotscenariosversion1.xlsbdata1" hidden="1">data1[]</definedName>
    <definedName name="data">data1[]</definedName>
    <definedName name="Datatable">data1[]</definedName>
    <definedName name="NativeTimeline_Deployment_Date">#N/A</definedName>
    <definedName name="Rawdata">data1[]</definedName>
    <definedName name="Slicer_Mission_Type">#N/A</definedName>
    <definedName name="Slicer_Platform">#N/A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1" name="data1" connection="WorksheetConnection_Project 2 - pivot + scenarios (version 1).xlsb!data1"/>
          <x15:modelTable id="costs" name="costs" connection="WorksheetConnection_Project 2 - pivot + scenarios (version 1).xlsb!costs"/>
        </x15:modelTables>
        <x15:modelRelationships>
          <x15:modelRelationship fromTable="costs" fromColumn="System_ID" toTable="data1" toColumn="Sys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12" l="1"/>
  <c r="A73" i="12" s="1"/>
  <c r="B65" i="12"/>
  <c r="H24" i="12"/>
  <c r="H23" i="12"/>
  <c r="H22" i="12"/>
  <c r="I22" i="12"/>
  <c r="G24" i="12"/>
  <c r="G23" i="12"/>
  <c r="G22" i="12"/>
  <c r="H28" i="3"/>
  <c r="H31" i="3"/>
  <c r="H30" i="3"/>
  <c r="H29" i="3"/>
  <c r="G18" i="12"/>
  <c r="G17" i="12"/>
  <c r="I24" i="12" l="1"/>
  <c r="I23" i="12"/>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C24" i="12"/>
  <c r="C23" i="12"/>
  <c r="B24" i="12"/>
  <c r="B23" i="12"/>
  <c r="C22" i="12"/>
  <c r="B22" i="12"/>
  <c r="A4" i="12" a="1"/>
  <c r="A4" i="12" s="1"/>
  <c r="D22" i="12" l="1"/>
  <c r="D24" i="12"/>
  <c r="D23" i="12"/>
  <c r="A15" i="3" l="1" a="1"/>
  <c r="A15" i="3" s="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H2" i="11" a="1"/>
  <c r="H2" i="11" s="1"/>
  <c r="F2" i="11" a="1"/>
  <c r="F2" i="11" s="1"/>
  <c r="E2" i="11" a="1"/>
  <c r="E2" i="11" s="1"/>
  <c r="C2" i="11" a="1"/>
  <c r="C2" i="11" s="1"/>
  <c r="B2" i="11" a="1"/>
  <c r="B2" i="11" s="1"/>
  <c r="A2" i="11" a="1"/>
  <c r="A2" i="11" s="1"/>
  <c r="D77" i="11" l="1"/>
  <c r="G77" i="11" s="1"/>
  <c r="D25" i="11"/>
  <c r="G25" i="11" s="1"/>
  <c r="D19" i="11"/>
  <c r="G19" i="11" s="1"/>
  <c r="D20" i="11"/>
  <c r="G20" i="11" s="1"/>
  <c r="D75" i="11"/>
  <c r="G75" i="11" s="1"/>
  <c r="D100" i="11"/>
  <c r="G100" i="11" s="1"/>
  <c r="D56" i="11"/>
  <c r="G56" i="11" s="1"/>
  <c r="D99" i="11"/>
  <c r="G99" i="11" s="1"/>
  <c r="D55" i="11"/>
  <c r="G55" i="11" s="1"/>
  <c r="D98" i="11"/>
  <c r="G98" i="11" s="1"/>
  <c r="D54" i="11"/>
  <c r="G54" i="11" s="1"/>
  <c r="D97" i="11"/>
  <c r="G97" i="11" s="1"/>
  <c r="D45" i="11"/>
  <c r="G45" i="11" s="1"/>
  <c r="D96" i="11"/>
  <c r="G96" i="11" s="1"/>
  <c r="D40" i="11"/>
  <c r="G40" i="11" s="1"/>
  <c r="D95" i="11"/>
  <c r="G95" i="11" s="1"/>
  <c r="D39" i="11"/>
  <c r="G39" i="11" s="1"/>
  <c r="D94" i="11"/>
  <c r="G94" i="11" s="1"/>
  <c r="D38" i="11"/>
  <c r="G38" i="11" s="1"/>
  <c r="D85" i="11"/>
  <c r="G85" i="11" s="1"/>
  <c r="D37" i="11"/>
  <c r="G37" i="11" s="1"/>
  <c r="D80" i="11"/>
  <c r="G80" i="11" s="1"/>
  <c r="D36" i="11"/>
  <c r="G36" i="11" s="1"/>
  <c r="D79" i="11"/>
  <c r="G79" i="11" s="1"/>
  <c r="D35" i="11"/>
  <c r="G35" i="11" s="1"/>
  <c r="D78" i="11"/>
  <c r="G78" i="11" s="1"/>
  <c r="D34" i="11"/>
  <c r="G34" i="11" s="1"/>
  <c r="D74" i="11"/>
  <c r="G74" i="11" s="1"/>
  <c r="D18" i="11"/>
  <c r="G18" i="11" s="1"/>
  <c r="D65" i="11"/>
  <c r="G65" i="11" s="1"/>
  <c r="D17" i="11"/>
  <c r="G17" i="11" s="1"/>
  <c r="D60" i="11"/>
  <c r="G60" i="11" s="1"/>
  <c r="D16" i="11"/>
  <c r="G16" i="11" s="1"/>
  <c r="D59" i="11"/>
  <c r="G59" i="11" s="1"/>
  <c r="D15" i="11"/>
  <c r="G15" i="11" s="1"/>
  <c r="D76" i="11"/>
  <c r="G76" i="11" s="1"/>
  <c r="D2" i="11"/>
  <c r="G2" i="11" s="1"/>
  <c r="D58" i="11"/>
  <c r="G58" i="11" s="1"/>
  <c r="D14" i="11"/>
  <c r="G14" i="11" s="1"/>
  <c r="D57" i="11"/>
  <c r="G57" i="11" s="1"/>
  <c r="D5" i="11"/>
  <c r="G5" i="11" s="1"/>
  <c r="D93" i="11"/>
  <c r="G93" i="11" s="1"/>
  <c r="D73" i="11"/>
  <c r="G73" i="11" s="1"/>
  <c r="D53" i="11"/>
  <c r="G53" i="11" s="1"/>
  <c r="D33" i="11"/>
  <c r="G33" i="11" s="1"/>
  <c r="D13" i="11"/>
  <c r="G13" i="11" s="1"/>
  <c r="D92" i="11"/>
  <c r="G92" i="11" s="1"/>
  <c r="D72" i="11"/>
  <c r="G72" i="11" s="1"/>
  <c r="D52" i="11"/>
  <c r="G52" i="11" s="1"/>
  <c r="D32" i="11"/>
  <c r="G32" i="11" s="1"/>
  <c r="D12" i="11"/>
  <c r="G12" i="11" s="1"/>
  <c r="D91" i="11"/>
  <c r="G91" i="11" s="1"/>
  <c r="D71" i="11"/>
  <c r="G71" i="11" s="1"/>
  <c r="D51" i="11"/>
  <c r="G51" i="11" s="1"/>
  <c r="D31" i="11"/>
  <c r="G31" i="11" s="1"/>
  <c r="D11" i="11"/>
  <c r="G11" i="11" s="1"/>
  <c r="D90" i="11"/>
  <c r="G90" i="11" s="1"/>
  <c r="D70" i="11"/>
  <c r="G70" i="11" s="1"/>
  <c r="D50" i="11"/>
  <c r="G50" i="11" s="1"/>
  <c r="D30" i="11"/>
  <c r="G30" i="11" s="1"/>
  <c r="D10" i="11"/>
  <c r="G10" i="11" s="1"/>
  <c r="D89" i="11"/>
  <c r="G89" i="11" s="1"/>
  <c r="D69" i="11"/>
  <c r="G69" i="11" s="1"/>
  <c r="D49" i="11"/>
  <c r="G49" i="11" s="1"/>
  <c r="D29" i="11"/>
  <c r="G29" i="11" s="1"/>
  <c r="D9" i="11"/>
  <c r="G9" i="11" s="1"/>
  <c r="D88" i="11"/>
  <c r="G88" i="11" s="1"/>
  <c r="D68" i="11"/>
  <c r="G68" i="11" s="1"/>
  <c r="D48" i="11"/>
  <c r="G48" i="11" s="1"/>
  <c r="D28" i="11"/>
  <c r="G28" i="11" s="1"/>
  <c r="D8" i="11"/>
  <c r="G8" i="11" s="1"/>
  <c r="D87" i="11"/>
  <c r="G87" i="11" s="1"/>
  <c r="D67" i="11"/>
  <c r="G67" i="11" s="1"/>
  <c r="D47" i="11"/>
  <c r="G47" i="11" s="1"/>
  <c r="D27" i="11"/>
  <c r="G27" i="11" s="1"/>
  <c r="D7" i="11"/>
  <c r="G7" i="11" s="1"/>
  <c r="D86" i="11"/>
  <c r="G86" i="11" s="1"/>
  <c r="D66" i="11"/>
  <c r="G66" i="11" s="1"/>
  <c r="D46" i="11"/>
  <c r="G46" i="11" s="1"/>
  <c r="D26" i="11"/>
  <c r="G26" i="11" s="1"/>
  <c r="D6" i="11"/>
  <c r="G6" i="11" s="1"/>
  <c r="D84" i="11"/>
  <c r="G84" i="11" s="1"/>
  <c r="D64" i="11"/>
  <c r="G64" i="11" s="1"/>
  <c r="D44" i="11"/>
  <c r="G44" i="11" s="1"/>
  <c r="D24" i="11"/>
  <c r="G24" i="11" s="1"/>
  <c r="D4" i="11"/>
  <c r="G4" i="11" s="1"/>
  <c r="D83" i="11"/>
  <c r="G83" i="11" s="1"/>
  <c r="D63" i="11"/>
  <c r="G63" i="11" s="1"/>
  <c r="D43" i="11"/>
  <c r="G43" i="11" s="1"/>
  <c r="D23" i="11"/>
  <c r="G23" i="11" s="1"/>
  <c r="D3" i="11"/>
  <c r="G3" i="11" s="1"/>
  <c r="D82" i="11"/>
  <c r="G82" i="11" s="1"/>
  <c r="D62" i="11"/>
  <c r="G62" i="11" s="1"/>
  <c r="D42" i="11"/>
  <c r="G42" i="11" s="1"/>
  <c r="D22" i="11"/>
  <c r="G22" i="11" s="1"/>
  <c r="D101" i="11"/>
  <c r="G101" i="11" s="1"/>
  <c r="D81" i="11"/>
  <c r="G81" i="11" s="1"/>
  <c r="D61" i="11"/>
  <c r="G61" i="11" s="1"/>
  <c r="D41" i="11"/>
  <c r="G41" i="11" s="1"/>
  <c r="D21" i="11"/>
  <c r="G21" i="11" s="1"/>
  <c r="D2" i="5" a="1"/>
  <c r="D2" i="5" s="1"/>
  <c r="H2" i="5" a="1"/>
  <c r="H2" i="5" s="1"/>
  <c r="G2" i="5" a="1"/>
  <c r="G2" i="5" s="1"/>
  <c r="F2" i="5" a="1"/>
  <c r="F2" i="5" s="1"/>
  <c r="E2" i="5" a="1"/>
  <c r="E2" i="5" s="1"/>
  <c r="G102" i="11" l="1"/>
  <c r="B17" i="3" l="1"/>
  <c r="B18" i="3"/>
  <c r="B19" i="3"/>
  <c r="B20" i="3"/>
  <c r="B21" i="3"/>
  <c r="B16" i="3"/>
  <c r="B29" i="3"/>
  <c r="B30" i="3"/>
  <c r="B31" i="3"/>
  <c r="B28" i="3"/>
  <c r="B4" i="12"/>
  <c r="B35" i="12" s="1"/>
  <c r="B39" i="12" s="1"/>
  <c r="A43" i="12" s="1"/>
  <c r="B6" i="12"/>
  <c r="B7" i="12"/>
  <c r="B8" i="12"/>
  <c r="B9" i="12"/>
  <c r="B10" i="12"/>
  <c r="B5" i="12"/>
  <c r="B15" i="3"/>
  <c r="K32" i="3" s="1"/>
  <c r="K36" i="3" s="1"/>
  <c r="C40"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8964C3-F417-421D-8B44-9945373D2F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027144C-53FA-404D-A087-2227A75818A3}" name="WorksheetConnection_Project 2 - pivot + scenarios (version 1).xlsb!costs" type="102" refreshedVersion="8" minRefreshableVersion="5">
    <extLst>
      <ext xmlns:x15="http://schemas.microsoft.com/office/spreadsheetml/2010/11/main" uri="{DE250136-89BD-433C-8126-D09CA5730AF9}">
        <x15:connection id="costs">
          <x15:rangePr sourceName="_xlcn.WorksheetConnection_Project2pivotscenariosversion1.xlsbcosts"/>
        </x15:connection>
      </ext>
    </extLst>
  </connection>
  <connection id="3" xr16:uid="{4B773484-203F-4A01-8D5C-88CAEC0629F7}" name="WorksheetConnection_Project 2 - pivot + scenarios (version 1).xlsb!data1" type="102" refreshedVersion="8" minRefreshableVersion="5">
    <extLst>
      <ext xmlns:x15="http://schemas.microsoft.com/office/spreadsheetml/2010/11/main" uri="{DE250136-89BD-433C-8126-D09CA5730AF9}">
        <x15:connection id="data1">
          <x15:rangePr sourceName="_xlcn.WorksheetConnection_Project2pivotscenariosversion1.xlsb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<sst xmlns="http://schemas.openxmlformats.org/spreadsheetml/2006/main" count="1086" uniqueCount="252">
  <si>
    <t>System_ID</t>
  </si>
  <si>
    <t>Platform</t>
  </si>
  <si>
    <t>System_Type</t>
  </si>
  <si>
    <t>Manufacturer</t>
  </si>
  <si>
    <t>Deployment_Date</t>
  </si>
  <si>
    <t>Region</t>
  </si>
  <si>
    <t>Mission_Type</t>
  </si>
  <si>
    <t>Threat_Level</t>
  </si>
  <si>
    <t>Success_Rate</t>
  </si>
  <si>
    <t>Response_Time_ms</t>
  </si>
  <si>
    <t>Uptime_%</t>
  </si>
  <si>
    <t>Maintenance_Hours_per_Month</t>
  </si>
  <si>
    <t>Energy_Consumption_kWh</t>
  </si>
  <si>
    <t>Cost_per_Hour_USD</t>
  </si>
  <si>
    <t>SYS-001</t>
  </si>
  <si>
    <t>Drone</t>
  </si>
  <si>
    <t>ISR</t>
  </si>
  <si>
    <t>AeroTech</t>
  </si>
  <si>
    <t>EU</t>
  </si>
  <si>
    <t>Surveillance</t>
  </si>
  <si>
    <t>Medium</t>
  </si>
  <si>
    <t>SYS-002</t>
  </si>
  <si>
    <t>Combat</t>
  </si>
  <si>
    <t>SkyForge</t>
  </si>
  <si>
    <t>ME</t>
  </si>
  <si>
    <t>Strike</t>
  </si>
  <si>
    <t>High</t>
  </si>
  <si>
    <t>SYS-003</t>
  </si>
  <si>
    <t>Satellite</t>
  </si>
  <si>
    <t>OrbitalSys</t>
  </si>
  <si>
    <t>NA</t>
  </si>
  <si>
    <t>Tracking</t>
  </si>
  <si>
    <t>SYS-004</t>
  </si>
  <si>
    <t>Radar</t>
  </si>
  <si>
    <t>Defense</t>
  </si>
  <si>
    <t>DefenCore</t>
  </si>
  <si>
    <t>APAC</t>
  </si>
  <si>
    <t>Detection</t>
  </si>
  <si>
    <t>SYS-005</t>
  </si>
  <si>
    <t>UGV</t>
  </si>
  <si>
    <t>MechaDyn</t>
  </si>
  <si>
    <t>Patrol</t>
  </si>
  <si>
    <t>SYS-006</t>
  </si>
  <si>
    <t>Low</t>
  </si>
  <si>
    <t>SYS-007</t>
  </si>
  <si>
    <t>Navigation</t>
  </si>
  <si>
    <t>Guidance</t>
  </si>
  <si>
    <t>SYS-008</t>
  </si>
  <si>
    <t>SYS-009</t>
  </si>
  <si>
    <t>SYS-010</t>
  </si>
  <si>
    <t>Logistics</t>
  </si>
  <si>
    <t>Supply</t>
  </si>
  <si>
    <t>SYS-011</t>
  </si>
  <si>
    <t>SYS-012</t>
  </si>
  <si>
    <t>SYS-013</t>
  </si>
  <si>
    <t>SYS-014</t>
  </si>
  <si>
    <t>SYS-015</t>
  </si>
  <si>
    <t>SYS-016</t>
  </si>
  <si>
    <t>SYS-017</t>
  </si>
  <si>
    <t>SYS-018</t>
  </si>
  <si>
    <t>SYS-019</t>
  </si>
  <si>
    <t>SYS-020</t>
  </si>
  <si>
    <t>SYS-021</t>
  </si>
  <si>
    <t>SYS-022</t>
  </si>
  <si>
    <t>SYS-023</t>
  </si>
  <si>
    <t>SYS-024</t>
  </si>
  <si>
    <t>SYS-025</t>
  </si>
  <si>
    <t>SYS-026</t>
  </si>
  <si>
    <t>SYS-027</t>
  </si>
  <si>
    <t>SYS-028</t>
  </si>
  <si>
    <t>SYS-029</t>
  </si>
  <si>
    <t>SYS-030</t>
  </si>
  <si>
    <t>SYS-031</t>
  </si>
  <si>
    <t>SYS-032</t>
  </si>
  <si>
    <t>SYS-033</t>
  </si>
  <si>
    <t>SYS-034</t>
  </si>
  <si>
    <t>SYS-035</t>
  </si>
  <si>
    <t>SYS-036</t>
  </si>
  <si>
    <t>SYS-037</t>
  </si>
  <si>
    <t>SYS-038</t>
  </si>
  <si>
    <t>SYS-039</t>
  </si>
  <si>
    <t>SYS-040</t>
  </si>
  <si>
    <t>SYS-041</t>
  </si>
  <si>
    <t>SYS-042</t>
  </si>
  <si>
    <t>SYS-043</t>
  </si>
  <si>
    <t>SYS-044</t>
  </si>
  <si>
    <t>SYS-045</t>
  </si>
  <si>
    <t>SYS-046</t>
  </si>
  <si>
    <t>SYS-047</t>
  </si>
  <si>
    <t>SYS-048</t>
  </si>
  <si>
    <t>SYS-049</t>
  </si>
  <si>
    <t>SYS-050</t>
  </si>
  <si>
    <t>SYS-051</t>
  </si>
  <si>
    <t>SYS-052</t>
  </si>
  <si>
    <t>SYS-053</t>
  </si>
  <si>
    <t>SYS-054</t>
  </si>
  <si>
    <t>SYS-055</t>
  </si>
  <si>
    <t>SYS-056</t>
  </si>
  <si>
    <t>SYS-057</t>
  </si>
  <si>
    <t>SYS-058</t>
  </si>
  <si>
    <t>SYS-059</t>
  </si>
  <si>
    <t>SYS-060</t>
  </si>
  <si>
    <t>SYS-061</t>
  </si>
  <si>
    <t>SYS-062</t>
  </si>
  <si>
    <t>SYS-063</t>
  </si>
  <si>
    <t>SYS-064</t>
  </si>
  <si>
    <t>SYS-065</t>
  </si>
  <si>
    <t>SYS-066</t>
  </si>
  <si>
    <t>SYS-067</t>
  </si>
  <si>
    <t>SYS-068</t>
  </si>
  <si>
    <t>SYS-069</t>
  </si>
  <si>
    <t>SYS-070</t>
  </si>
  <si>
    <t>SYS-071</t>
  </si>
  <si>
    <t>SYS-072</t>
  </si>
  <si>
    <t>SYS-073</t>
  </si>
  <si>
    <t>SYS-074</t>
  </si>
  <si>
    <t>SYS-075</t>
  </si>
  <si>
    <t>SYS-076</t>
  </si>
  <si>
    <t>SYS-077</t>
  </si>
  <si>
    <t>SYS-078</t>
  </si>
  <si>
    <t>SYS-079</t>
  </si>
  <si>
    <t>SYS-080</t>
  </si>
  <si>
    <t>SYS-081</t>
  </si>
  <si>
    <t>SYS-082</t>
  </si>
  <si>
    <t>SYS-083</t>
  </si>
  <si>
    <t>SYS-084</t>
  </si>
  <si>
    <t>SYS-085</t>
  </si>
  <si>
    <t>SYS-086</t>
  </si>
  <si>
    <t>SYS-087</t>
  </si>
  <si>
    <t>SYS-088</t>
  </si>
  <si>
    <t>SYS-089</t>
  </si>
  <si>
    <t>SYS-090</t>
  </si>
  <si>
    <t>SYS-091</t>
  </si>
  <si>
    <t>SYS-092</t>
  </si>
  <si>
    <t>SYS-093</t>
  </si>
  <si>
    <t>SYS-094</t>
  </si>
  <si>
    <t>SYS-095</t>
  </si>
  <si>
    <t>SYS-096</t>
  </si>
  <si>
    <t>SYS-097</t>
  </si>
  <si>
    <t>SYS-098</t>
  </si>
  <si>
    <t>SYS-099</t>
  </si>
  <si>
    <t>SYS-100</t>
  </si>
  <si>
    <t>Annual_Operating_Hours</t>
  </si>
  <si>
    <t>Annual_Maintenance_Cost_USD</t>
  </si>
  <si>
    <t>Energy_Cost_per_kWh_USD</t>
  </si>
  <si>
    <t>Annual_Budget_Allocation_USD</t>
  </si>
  <si>
    <t>Replacement_Cost_USD</t>
  </si>
  <si>
    <t>Deployment_Priority</t>
  </si>
  <si>
    <t>Scenario</t>
  </si>
  <si>
    <t>Threat_Multiplier</t>
  </si>
  <si>
    <t>Cost_Multiplier</t>
  </si>
  <si>
    <t>Maintenance_Multiplier</t>
  </si>
  <si>
    <t>Energy_Multiplier</t>
  </si>
  <si>
    <t>Baseline</t>
  </si>
  <si>
    <t>All</t>
  </si>
  <si>
    <t>Budget_Cut_20</t>
  </si>
  <si>
    <t>High_Threat_ME</t>
  </si>
  <si>
    <t>Energy_Crisis</t>
  </si>
  <si>
    <t>Global</t>
  </si>
  <si>
    <t>War_Surge</t>
  </si>
  <si>
    <t>Pacific_Escalation</t>
  </si>
  <si>
    <t>Maintenance_Shock</t>
  </si>
  <si>
    <t>Filter_Type</t>
  </si>
  <si>
    <t>Selection</t>
  </si>
  <si>
    <t>Available_Values</t>
  </si>
  <si>
    <t>(dropdown)</t>
  </si>
  <si>
    <t>Row Labels</t>
  </si>
  <si>
    <t>Grand Total</t>
  </si>
  <si>
    <t>Column Labels</t>
  </si>
  <si>
    <t>Average of Success_Rate</t>
  </si>
  <si>
    <t>Average of Response_Time_ms</t>
  </si>
  <si>
    <t>Sum of Energy_Consumption_kWh</t>
  </si>
  <si>
    <t>Count of System_ID</t>
  </si>
  <si>
    <t>2024</t>
  </si>
  <si>
    <t>Qtr1</t>
  </si>
  <si>
    <t>Qtr2</t>
  </si>
  <si>
    <t>Count of Mission_Type</t>
  </si>
  <si>
    <t>Average of Annual_Maintenance_Cost_USD</t>
  </si>
  <si>
    <t>Qtr4</t>
  </si>
  <si>
    <t>Qtr3</t>
  </si>
  <si>
    <t>2025</t>
  </si>
  <si>
    <t>Count of Platform</t>
  </si>
  <si>
    <t>Sum of Annual_Budget_Allocation_USD</t>
  </si>
  <si>
    <t>Readiness_Multiplier</t>
  </si>
  <si>
    <t>Cost Per hour</t>
  </si>
  <si>
    <t>Annual Hours</t>
  </si>
  <si>
    <t>Total Cost Annual</t>
  </si>
  <si>
    <t>Annual Energy Consumption Cost</t>
  </si>
  <si>
    <t>Total Annual Cost</t>
  </si>
  <si>
    <t>Maintenance cost</t>
  </si>
  <si>
    <t>Readiness Score</t>
  </si>
  <si>
    <t>Risk Index</t>
  </si>
  <si>
    <t xml:space="preserve">Threat_Level </t>
  </si>
  <si>
    <t xml:space="preserve">  Threat_Score</t>
  </si>
  <si>
    <t xml:space="preserve">Medium     </t>
  </si>
  <si>
    <t>Threat = 1 → no escalation</t>
  </si>
  <si>
    <t>Cost = 1 → no budget change</t>
  </si>
  <si>
    <t>Maintenance = 1 → no stress</t>
  </si>
  <si>
    <t>Energy = 1 → stable energy market</t>
  </si>
  <si>
    <t>Readiness = 1 → normal readiness</t>
  </si>
  <si>
    <r>
      <t xml:space="preserve">That’s why all multipliers = </t>
    </r>
    <r>
      <rPr>
        <b/>
        <sz val="11"/>
        <color theme="1"/>
        <rFont val="Aptos Narrow"/>
        <family val="2"/>
        <scheme val="minor"/>
      </rPr>
      <t>1</t>
    </r>
    <r>
      <rPr>
        <sz val="11"/>
        <color theme="1"/>
        <rFont val="Aptos Narrow"/>
        <family val="2"/>
        <scheme val="minor"/>
      </rPr>
      <t>.</t>
    </r>
  </si>
  <si>
    <t>And suddenly:</t>
  </si>
  <si>
    <t>You can simulate war</t>
  </si>
  <si>
    <t>You can simulate energy collapse</t>
  </si>
  <si>
    <t>You can simulate budget austerity</t>
  </si>
  <si>
    <t>You can simulate regional escalation</t>
  </si>
  <si>
    <t>Scenarios</t>
  </si>
  <si>
    <t>Adjusted_Total_Cost</t>
  </si>
  <si>
    <t>Total</t>
  </si>
  <si>
    <t>Adjusted</t>
  </si>
  <si>
    <t>Baseline Scenario</t>
  </si>
  <si>
    <t>War Surge</t>
  </si>
  <si>
    <t>Target KPI</t>
  </si>
  <si>
    <t>Value</t>
  </si>
  <si>
    <t>Budget Ceiling</t>
  </si>
  <si>
    <t>$2.2B</t>
  </si>
  <si>
    <t>Current War Surge</t>
  </si>
  <si>
    <t>$3.93B</t>
  </si>
  <si>
    <t>Gap</t>
  </si>
  <si>
    <t>$1.73B</t>
  </si>
  <si>
    <t>Lever</t>
  </si>
  <si>
    <t>Old</t>
  </si>
  <si>
    <t>New</t>
  </si>
  <si>
    <t>Required Change</t>
  </si>
  <si>
    <t>Cost Multiplier</t>
  </si>
  <si>
    <t>Goal Seeker</t>
  </si>
  <si>
    <t>Cost</t>
  </si>
  <si>
    <t>Manitenance</t>
  </si>
  <si>
    <t>Energy</t>
  </si>
  <si>
    <t>Manitenance Multiplier</t>
  </si>
  <si>
    <t>Energy Multiplier</t>
  </si>
  <si>
    <t xml:space="preserve">Comparison table </t>
  </si>
  <si>
    <t>Strategic Impact</t>
  </si>
  <si>
    <t>Feasibility</t>
  </si>
  <si>
    <t>Total Cost</t>
  </si>
  <si>
    <t>Annua_ OP _Cost</t>
  </si>
  <si>
    <t xml:space="preserve"> </t>
  </si>
  <si>
    <t>Integrated Dashboard</t>
  </si>
  <si>
    <t>Project summary</t>
  </si>
  <si>
    <t>Objectives</t>
  </si>
  <si>
    <t>Provide a clear snapshot of fleet performance by platform, mission type, and region.</t>
  </si>
  <si>
    <t>Quantify total annual cost, including operations, maintenance, and energy, against the available budget.</t>
  </si>
  <si>
    <t>Highlight the most effective levers (cost, maintenance, energy, readiness) to close budget gaps.</t>
  </si>
  <si>
    <t>This workbook analyzes the performance and operating costs of a mixed
 fleet of defense systems across multiple regions, platforms, and mission types. It combines raw operational data with a cost model and scenario multipliers to simulate how budgets, threats, maintenance, and energy conditions affect total annual cost and readiness. The goal is to help decision‑makers understand cost drivers, identify high‑impact levers, and prioritize investments under different strategic scenarios</t>
  </si>
  <si>
    <t>Project 2  -Scenario Analysis of Defense Fleet Operations and Budget</t>
  </si>
  <si>
    <t>Support recommendations for which platforms or regions to prioritize under constrained resources</t>
  </si>
  <si>
    <r>
      <t xml:space="preserve">Simulate key scenarios (e.g., </t>
    </r>
    <r>
      <rPr>
        <b/>
        <sz val="10"/>
        <color rgb="FF00B0F0"/>
        <rFont val="Segoe UI"/>
        <family val="2"/>
      </rPr>
      <t>War Surge</t>
    </r>
    <r>
      <rPr>
        <sz val="10"/>
        <color theme="1"/>
        <rFont val="Segoe UI"/>
        <family val="2"/>
      </rPr>
      <t>, Energy Crisis, Budget Cuts) using transparent multipliers.</t>
    </r>
  </si>
  <si>
    <t>Data Table</t>
  </si>
  <si>
    <t>Energy Crisis</t>
  </si>
  <si>
    <t>OG</t>
  </si>
  <si>
    <t>cost</t>
  </si>
  <si>
    <t>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</si>
</sst>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b/>
      <sz val="13.5"/>
      <color theme="1"/>
      <name val="Aptos Narrow"/>
      <family val="2"/>
      <scheme val="minor"/>
    </font>
    <font>
      <b/>
      <sz val="20"/>
      <color theme="1"/>
      <name val="Aptos Narrow"/>
      <family val="2"/>
      <scheme val="minor"/>
    </font>
    <font>
      <sz val="10"/>
      <color theme="1"/>
      <name val="Segoe UI"/>
      <family val="2"/>
    </font>
    <font>
      <b/>
      <sz val="20"/>
      <color theme="0"/>
      <name val="Aptos Narrow"/>
      <family val="2"/>
      <scheme val="minor"/>
    </font>
    <font>
      <sz val="16"/>
      <color theme="1"/>
      <name val="Aptos Narrow"/>
      <family val="2"/>
      <scheme val="minor"/>
    </font>
    <font>
      <b/>
      <sz val="10"/>
      <color theme="1"/>
      <name val="Aptos Narrow"/>
      <family val="2"/>
      <scheme val="minor"/>
    </font>
    <font>
      <b/>
      <sz val="16"/>
      <color theme="1"/>
      <name val="Aptos Narrow"/>
      <family val="2"/>
      <scheme val="minor"/>
    </font>
    <font>
      <b/>
      <sz val="18"/>
      <color theme="7" tint="-0.249977111117893"/>
      <name val="Aptos Narrow"/>
      <family val="2"/>
      <scheme val="minor"/>
    </font>
    <font>
      <b/>
      <sz val="10"/>
      <color rgb="FF00B0F0"/>
      <name val="Segoe UI"/>
      <family val="2"/>
    </font>
    <font>
      <b/>
      <sz val="26"/>
      <color theme="1"/>
      <name val="Aptos Narrow"/>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2F2F2"/>
        <bgColor indexed="64"/>
      </patternFill>
    </fill>
    <fill>
      <patternFill patternType="solid">
        <fgColor theme="3" tint="0.89999084444715716"/>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7">
    <xf numFmtId="0" fontId="0" fillId="0" borderId="0" xfId="0"/>
    <xf numFmtId="14"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center" vertical="center"/>
    </xf>
    <xf numFmtId="164" fontId="0" fillId="0" borderId="0" xfId="1" applyNumberFormat="1" applyFont="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64" fontId="0" fillId="0" borderId="0" xfId="0" applyNumberFormat="1"/>
    <xf numFmtId="0" fontId="2" fillId="0" borderId="0" xfId="0" applyFont="1" applyAlignment="1">
      <alignment horizontal="left"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1" xfId="0" applyFont="1" applyBorder="1" applyAlignment="1">
      <alignment horizontal="center" vertical="center"/>
    </xf>
    <xf numFmtId="0" fontId="0" fillId="0" borderId="4" xfId="0" applyBorder="1" applyAlignment="1">
      <alignment horizontal="center" vertical="center"/>
    </xf>
    <xf numFmtId="0" fontId="2" fillId="2" borderId="1" xfId="0" applyFont="1" applyFill="1" applyBorder="1" applyAlignment="1">
      <alignment horizontal="center" vertical="center"/>
    </xf>
    <xf numFmtId="164" fontId="0" fillId="2" borderId="1" xfId="1" applyNumberFormat="1" applyFont="1" applyFill="1" applyBorder="1"/>
    <xf numFmtId="0" fontId="0" fillId="2" borderId="1" xfId="0" applyFill="1" applyBorder="1" applyAlignment="1">
      <alignment horizontal="center" vertical="center"/>
    </xf>
    <xf numFmtId="164" fontId="0" fillId="2" borderId="1" xfId="1" applyNumberFormat="1" applyFont="1" applyFill="1" applyBorder="1" applyAlignment="1">
      <alignment horizontal="center" vertical="center"/>
    </xf>
    <xf numFmtId="164" fontId="0" fillId="2" borderId="1" xfId="0" applyNumberFormat="1" applyFill="1" applyBorder="1"/>
    <xf numFmtId="164" fontId="0" fillId="0" borderId="1" xfId="1" applyNumberFormat="1" applyFont="1" applyBorder="1"/>
    <xf numFmtId="0" fontId="0" fillId="0" borderId="0" xfId="0" applyAlignment="1">
      <alignment horizontal="left" vertical="center" indent="1"/>
    </xf>
    <xf numFmtId="0" fontId="0" fillId="2" borderId="1" xfId="0" applyFill="1" applyBorder="1" applyAlignment="1">
      <alignment vertical="center"/>
    </xf>
    <xf numFmtId="164" fontId="2" fillId="4" borderId="0" xfId="0" applyNumberFormat="1" applyFont="1" applyFill="1"/>
    <xf numFmtId="0" fontId="2" fillId="0" borderId="0" xfId="0" applyFont="1" applyAlignment="1">
      <alignment horizontal="center"/>
    </xf>
    <xf numFmtId="0" fontId="0" fillId="0" borderId="1" xfId="1" applyNumberFormat="1" applyFont="1" applyBorder="1" applyAlignment="1">
      <alignment horizontal="center" vertical="center"/>
    </xf>
    <xf numFmtId="0" fontId="2" fillId="4" borderId="0" xfId="0" applyFont="1" applyFill="1" applyAlignment="1">
      <alignment horizontal="center" vertical="center"/>
    </xf>
    <xf numFmtId="0" fontId="0" fillId="0" borderId="1" xfId="0" applyBorder="1" applyAlignment="1">
      <alignment horizontal="center" vertical="center" wrapText="1"/>
    </xf>
    <xf numFmtId="0" fontId="3" fillId="0" borderId="0" xfId="0" applyFont="1" applyAlignment="1">
      <alignment vertical="center"/>
    </xf>
    <xf numFmtId="2" fontId="0" fillId="0" borderId="1" xfId="0" applyNumberFormat="1" applyBorder="1" applyAlignment="1">
      <alignment horizontal="center" vertical="center"/>
    </xf>
    <xf numFmtId="2"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xf>
    <xf numFmtId="0" fontId="0" fillId="0" borderId="4" xfId="0" applyBorder="1" applyAlignment="1">
      <alignment horizontal="left" vertical="center" wrapText="1"/>
    </xf>
    <xf numFmtId="9" fontId="0" fillId="0" borderId="4" xfId="2" applyFont="1" applyBorder="1" applyAlignment="1">
      <alignment horizontal="center" vertical="center" wrapText="1"/>
    </xf>
    <xf numFmtId="0" fontId="2" fillId="0" borderId="2" xfId="0" applyFont="1" applyBorder="1" applyAlignment="1">
      <alignment horizontal="center" vertical="center"/>
    </xf>
    <xf numFmtId="0" fontId="0" fillId="5" borderId="1" xfId="0" applyFill="1" applyBorder="1"/>
    <xf numFmtId="0" fontId="0" fillId="5" borderId="3" xfId="0" applyFill="1" applyBorder="1"/>
    <xf numFmtId="164" fontId="0" fillId="5" borderId="1" xfId="0" applyNumberFormat="1" applyFill="1" applyBorder="1"/>
    <xf numFmtId="164" fontId="0" fillId="0" borderId="1" xfId="1" applyNumberFormat="1" applyFont="1" applyBorder="1" applyAlignment="1">
      <alignment vertical="center"/>
    </xf>
    <xf numFmtId="44" fontId="0" fillId="5" borderId="1" xfId="0" applyNumberFormat="1" applyFill="1" applyBorder="1" applyAlignment="1">
      <alignment horizontal="center" vertical="center"/>
    </xf>
    <xf numFmtId="44" fontId="0" fillId="5" borderId="0" xfId="0" applyNumberFormat="1" applyFill="1"/>
    <xf numFmtId="44" fontId="2" fillId="0" borderId="0" xfId="0" applyNumberFormat="1" applyFont="1" applyAlignment="1">
      <alignment horizontal="center" vertical="center"/>
    </xf>
    <xf numFmtId="44" fontId="0" fillId="0" borderId="1" xfId="1" applyFont="1" applyBorder="1" applyAlignment="1">
      <alignment vertical="center"/>
    </xf>
    <xf numFmtId="0" fontId="4" fillId="0" borderId="0" xfId="0" applyFont="1" applyAlignment="1">
      <alignment horizontal="left"/>
    </xf>
    <xf numFmtId="0" fontId="6" fillId="3" borderId="0" xfId="0" applyFont="1" applyFill="1"/>
    <xf numFmtId="0" fontId="0" fillId="0" borderId="0" xfId="0" applyAlignment="1">
      <alignment horizontal="left" vertical="center" wrapText="1" indent="1"/>
    </xf>
    <xf numFmtId="0" fontId="5" fillId="0" borderId="9" xfId="0" applyFont="1" applyBorder="1" applyAlignment="1">
      <alignment horizontal="left" vertical="center" wrapText="1" indent="1"/>
    </xf>
    <xf numFmtId="0" fontId="5" fillId="0" borderId="11" xfId="0" applyFont="1" applyBorder="1" applyAlignment="1">
      <alignment horizontal="left" vertical="center" wrapText="1" indent="1"/>
    </xf>
    <xf numFmtId="0" fontId="7" fillId="0" borderId="0" xfId="0" applyFont="1" applyAlignment="1">
      <alignment vertical="center"/>
    </xf>
    <xf numFmtId="0" fontId="5" fillId="0" borderId="14" xfId="0" applyFont="1" applyBorder="1" applyAlignment="1">
      <alignment horizontal="left" vertical="center" wrapText="1" indent="1"/>
    </xf>
    <xf numFmtId="0" fontId="2" fillId="0" borderId="15" xfId="0" applyFont="1" applyBorder="1" applyAlignment="1">
      <alignment horizontal="center" vertical="center"/>
    </xf>
    <xf numFmtId="0" fontId="0" fillId="0" borderId="16" xfId="0" applyBorder="1" applyAlignment="1">
      <alignment horizontal="left" vertical="center" wrapText="1"/>
    </xf>
    <xf numFmtId="2" fontId="0" fillId="6" borderId="1" xfId="0" applyNumberFormat="1" applyFill="1" applyBorder="1" applyAlignment="1">
      <alignment horizontal="center" vertical="center"/>
    </xf>
    <xf numFmtId="164" fontId="0" fillId="5" borderId="8" xfId="0" applyNumberFormat="1" applyFill="1" applyBorder="1"/>
    <xf numFmtId="0" fontId="0" fillId="5" borderId="18" xfId="0" applyFill="1" applyBorder="1"/>
    <xf numFmtId="0" fontId="0" fillId="5" borderId="9" xfId="0" applyFill="1" applyBorder="1"/>
    <xf numFmtId="44" fontId="0" fillId="5" borderId="19" xfId="0" applyNumberFormat="1" applyFill="1" applyBorder="1"/>
    <xf numFmtId="0" fontId="0" fillId="0" borderId="17"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12" fillId="0" borderId="0" xfId="0" applyFont="1" applyAlignment="1">
      <alignment vertical="center"/>
    </xf>
    <xf numFmtId="0" fontId="9" fillId="0" borderId="0" xfId="0" applyFont="1"/>
    <xf numFmtId="0" fontId="0" fillId="7" borderId="0" xfId="0" applyFill="1"/>
    <xf numFmtId="44" fontId="2" fillId="8" borderId="0" xfId="0" applyNumberFormat="1" applyFont="1" applyFill="1" applyAlignment="1">
      <alignment horizontal="center" vertical="center"/>
    </xf>
    <xf numFmtId="0" fontId="4" fillId="0" borderId="0" xfId="0" applyFont="1"/>
    <xf numFmtId="164" fontId="0" fillId="0" borderId="1" xfId="0" applyNumberFormat="1" applyBorder="1" applyAlignment="1">
      <alignment horizontal="center" vertical="center" wrapText="1"/>
    </xf>
    <xf numFmtId="164" fontId="0" fillId="0" borderId="1" xfId="1" applyNumberFormat="1" applyFont="1" applyBorder="1" applyAlignment="1">
      <alignment horizontal="center" vertical="center" wrapText="1"/>
    </xf>
    <xf numFmtId="165" fontId="0" fillId="0" borderId="1" xfId="0" applyNumberFormat="1" applyBorder="1" applyAlignment="1">
      <alignment horizontal="center" vertical="center"/>
    </xf>
    <xf numFmtId="44" fontId="0" fillId="0" borderId="0" xfId="0" applyNumberFormat="1"/>
    <xf numFmtId="0" fontId="10" fillId="0" borderId="0" xfId="0" applyFont="1" applyAlignment="1">
      <alignment horizontal="center" vertical="center"/>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8" borderId="5" xfId="0" applyFont="1" applyFill="1" applyBorder="1" applyAlignment="1">
      <alignment horizontal="center" vertical="center"/>
    </xf>
    <xf numFmtId="0" fontId="2" fillId="8" borderId="6" xfId="0" applyFont="1" applyFill="1" applyBorder="1" applyAlignment="1">
      <alignment horizontal="center" vertical="center"/>
    </xf>
  </cellXfs>
  <cellStyles count="3">
    <cellStyle name="Currency" xfId="1" builtinId="4"/>
    <cellStyle name="Normal" xfId="0" builtinId="0"/>
    <cellStyle name="Percent" xfId="2" builtinId="5"/>
  </cellStyles>
  <dxfs count="4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z val="11"/>
        <color theme="0"/>
        <name val="Aptos Narrow"/>
        <family val="2"/>
        <scheme val="minor"/>
      </font>
    </dxf>
    <dxf>
      <font>
        <color theme="0"/>
      </font>
      <fill>
        <patternFill patternType="solid">
          <fgColor theme="0"/>
          <bgColor theme="3"/>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3"/>
        </patternFill>
      </fill>
    </dxf>
    <dxf>
      <fill>
        <patternFill>
          <bgColor theme="3"/>
        </patternFill>
      </fill>
    </dxf>
  </dxfs>
  <tableStyles count="2" defaultTableStyle="TableStyleMedium2" defaultPivotStyle="PivotStyleLight16">
    <tableStyle name="test1" pivot="0" table="0" count="10" xr9:uid="{E5CF6ED6-9791-4BFB-A37C-10CACBAAE579}">
      <tableStyleElement type="wholeTable" dxfId="44"/>
      <tableStyleElement type="headerRow" dxfId="43"/>
    </tableStyle>
    <tableStyle name="Timeline Style 1" pivot="0" table="0" count="8" xr9:uid="{156B32CB-7F38-45C9-A043-2FFAE89CFA8E}">
      <tableStyleElement type="wholeTable" dxfId="42"/>
      <tableStyleElement type="headerRow" dxfId="41"/>
    </tableStyle>
  </tableStyles>
  <colors>
    <mruColors>
      <color rgb="FFF2F2F2"/>
      <color rgb="FFEEEEEE"/>
    </mruColors>
  </colors>
  <extLst>
    <ext xmlns:x14="http://schemas.microsoft.com/office/spreadsheetml/2009/9/main" uri="{46F421CA-312F-682f-3DD2-61675219B42D}">
      <x14:dxfs count="8">
        <dxf>
          <font>
            <color theme="0"/>
          </font>
        </dxf>
        <dxf>
          <font>
            <color theme="0"/>
          </font>
        </dxf>
        <dxf>
          <font>
            <color theme="0"/>
          </font>
          <fill>
            <patternFill>
              <bgColor theme="3"/>
            </patternFill>
          </fill>
          <border>
            <left style="thin">
              <color auto="1"/>
            </left>
            <right style="thin">
              <color auto="1"/>
            </right>
            <top style="thin">
              <color auto="1"/>
            </top>
            <bottom style="thin">
              <color auto="1"/>
            </bottom>
          </border>
        </dxf>
        <dxf>
          <font>
            <color theme="0"/>
          </font>
        </dxf>
        <dxf>
          <font>
            <color theme="3" tint="9.9948118533890809E-2"/>
          </font>
          <fill>
            <patternFill>
              <bgColor theme="3"/>
            </patternFill>
          </fill>
          <border>
            <left style="thin">
              <color auto="1"/>
            </left>
            <right style="thin">
              <color auto="1"/>
            </right>
            <top style="thin">
              <color auto="1"/>
            </top>
            <bottom style="thin">
              <color auto="1"/>
            </bottom>
          </border>
        </dxf>
        <dxf>
          <font>
            <color theme="0"/>
          </font>
          <fill>
            <patternFill>
              <bgColor theme="3" tint="0.24994659260841701"/>
            </patternFill>
          </fill>
          <border>
            <left style="thin">
              <color auto="1"/>
            </left>
            <right style="thin">
              <color auto="1"/>
            </right>
            <top style="thin">
              <color auto="1"/>
            </top>
            <bottom style="thin">
              <color auto="1"/>
            </bottom>
          </border>
        </dxf>
        <dxf>
          <font>
            <color theme="3" tint="0.24994659260841701"/>
          </font>
          <fill>
            <patternFill>
              <bgColor theme="3"/>
            </patternFill>
          </fill>
          <border>
            <left style="thin">
              <color auto="1"/>
            </left>
            <right style="thin">
              <color auto="1"/>
            </right>
            <top style="thin">
              <color auto="1"/>
            </top>
            <bottom style="thin">
              <color auto="1"/>
            </bottom>
          </border>
        </dxf>
        <dxf>
          <font>
            <color theme="3" tint="0.24994659260841701"/>
          </font>
          <fill>
            <patternFill>
              <bgColor theme="3"/>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test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39994506668294322"/>
            </patternFill>
          </fill>
        </dxf>
        <dxf>
          <font>
            <sz val="9"/>
            <color theme="0"/>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pivot + scenarios -2.xlsx]pivots!Main KPI Table</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Success Rate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pivots!$B$1:$B$2</c:f>
              <c:strCache>
                <c:ptCount val="1"/>
                <c:pt idx="0">
                  <c:v>Drone</c:v>
                </c:pt>
              </c:strCache>
            </c:strRef>
          </c:tx>
          <c:spPr>
            <a:solidFill>
              <a:schemeClr val="accent1"/>
            </a:solidFill>
            <a:ln>
              <a:noFill/>
            </a:ln>
            <a:effectLst/>
          </c:spPr>
          <c:invertIfNegative val="0"/>
          <c:cat>
            <c:strRef>
              <c:f>pivots!$A$3:$A$7</c:f>
              <c:strCache>
                <c:ptCount val="4"/>
                <c:pt idx="0">
                  <c:v>APAC</c:v>
                </c:pt>
                <c:pt idx="1">
                  <c:v>EU</c:v>
                </c:pt>
                <c:pt idx="2">
                  <c:v>ME</c:v>
                </c:pt>
                <c:pt idx="3">
                  <c:v>NA</c:v>
                </c:pt>
              </c:strCache>
            </c:strRef>
          </c:cat>
          <c:val>
            <c:numRef>
              <c:f>pivots!$B$3:$B$7</c:f>
              <c:numCache>
                <c:formatCode>General</c:formatCode>
                <c:ptCount val="4"/>
                <c:pt idx="0">
                  <c:v>0.89666666666666683</c:v>
                </c:pt>
                <c:pt idx="1">
                  <c:v>0.89500000000000002</c:v>
                </c:pt>
                <c:pt idx="2">
                  <c:v>0.89500000000000002</c:v>
                </c:pt>
                <c:pt idx="3">
                  <c:v>0.90499999999999992</c:v>
                </c:pt>
              </c:numCache>
            </c:numRef>
          </c:val>
          <c:extLst>
            <c:ext xmlns:c16="http://schemas.microsoft.com/office/drawing/2014/chart" uri="{C3380CC4-5D6E-409C-BE32-E72D297353CC}">
              <c16:uniqueId val="{00000000-DC95-4FCA-991C-E94EB4ACB9DD}"/>
            </c:ext>
          </c:extLst>
        </c:ser>
        <c:ser>
          <c:idx val="1"/>
          <c:order val="1"/>
          <c:tx>
            <c:strRef>
              <c:f>pivots!$C$1:$C$2</c:f>
              <c:strCache>
                <c:ptCount val="1"/>
                <c:pt idx="0">
                  <c:v>Radar</c:v>
                </c:pt>
              </c:strCache>
            </c:strRef>
          </c:tx>
          <c:spPr>
            <a:solidFill>
              <a:schemeClr val="accent2"/>
            </a:solidFill>
            <a:ln>
              <a:noFill/>
            </a:ln>
            <a:effectLst/>
          </c:spPr>
          <c:invertIfNegative val="0"/>
          <c:cat>
            <c:strRef>
              <c:f>pivots!$A$3:$A$7</c:f>
              <c:strCache>
                <c:ptCount val="4"/>
                <c:pt idx="0">
                  <c:v>APAC</c:v>
                </c:pt>
                <c:pt idx="1">
                  <c:v>EU</c:v>
                </c:pt>
                <c:pt idx="2">
                  <c:v>ME</c:v>
                </c:pt>
                <c:pt idx="3">
                  <c:v>NA</c:v>
                </c:pt>
              </c:strCache>
            </c:strRef>
          </c:cat>
          <c:val>
            <c:numRef>
              <c:f>pivots!$C$3:$C$7</c:f>
              <c:numCache>
                <c:formatCode>General</c:formatCode>
                <c:ptCount val="4"/>
                <c:pt idx="0">
                  <c:v>0.9</c:v>
                </c:pt>
                <c:pt idx="1">
                  <c:v>0.90800000000000003</c:v>
                </c:pt>
                <c:pt idx="2">
                  <c:v>0.89</c:v>
                </c:pt>
                <c:pt idx="3">
                  <c:v>0.92</c:v>
                </c:pt>
              </c:numCache>
            </c:numRef>
          </c:val>
          <c:extLst>
            <c:ext xmlns:c16="http://schemas.microsoft.com/office/drawing/2014/chart" uri="{C3380CC4-5D6E-409C-BE32-E72D297353CC}">
              <c16:uniqueId val="{00000001-FE4E-4502-8DBD-051D5289CD81}"/>
            </c:ext>
          </c:extLst>
        </c:ser>
        <c:ser>
          <c:idx val="2"/>
          <c:order val="2"/>
          <c:tx>
            <c:strRef>
              <c:f>pivots!$D$1:$D$2</c:f>
              <c:strCache>
                <c:ptCount val="1"/>
                <c:pt idx="0">
                  <c:v>Satellite</c:v>
                </c:pt>
              </c:strCache>
            </c:strRef>
          </c:tx>
          <c:spPr>
            <a:solidFill>
              <a:schemeClr val="accent3"/>
            </a:solidFill>
            <a:ln>
              <a:noFill/>
            </a:ln>
            <a:effectLst>
              <a:outerShdw blurRad="63500" sx="102000" sy="102000" algn="ctr" rotWithShape="0">
                <a:prstClr val="black">
                  <a:alpha val="40000"/>
                </a:prstClr>
              </a:outerShdw>
            </a:effectLst>
          </c:spPr>
          <c:invertIfNegative val="0"/>
          <c:cat>
            <c:strRef>
              <c:f>pivots!$A$3:$A$7</c:f>
              <c:strCache>
                <c:ptCount val="4"/>
                <c:pt idx="0">
                  <c:v>APAC</c:v>
                </c:pt>
                <c:pt idx="1">
                  <c:v>EU</c:v>
                </c:pt>
                <c:pt idx="2">
                  <c:v>ME</c:v>
                </c:pt>
                <c:pt idx="3">
                  <c:v>NA</c:v>
                </c:pt>
              </c:strCache>
            </c:strRef>
          </c:cat>
          <c:val>
            <c:numRef>
              <c:f>pivots!$D$3:$D$7</c:f>
              <c:numCache>
                <c:formatCode>General</c:formatCode>
                <c:ptCount val="4"/>
                <c:pt idx="0">
                  <c:v>0.97499999999999998</c:v>
                </c:pt>
                <c:pt idx="1">
                  <c:v>0.95500000000000007</c:v>
                </c:pt>
                <c:pt idx="2">
                  <c:v>0.96</c:v>
                </c:pt>
                <c:pt idx="3">
                  <c:v>0.96799999999999997</c:v>
                </c:pt>
              </c:numCache>
            </c:numRef>
          </c:val>
          <c:extLst>
            <c:ext xmlns:c16="http://schemas.microsoft.com/office/drawing/2014/chart" uri="{C3380CC4-5D6E-409C-BE32-E72D297353CC}">
              <c16:uniqueId val="{00000002-FE4E-4502-8DBD-051D5289CD81}"/>
            </c:ext>
          </c:extLst>
        </c:ser>
        <c:ser>
          <c:idx val="3"/>
          <c:order val="3"/>
          <c:tx>
            <c:strRef>
              <c:f>pivots!$E$1:$E$2</c:f>
              <c:strCache>
                <c:ptCount val="1"/>
                <c:pt idx="0">
                  <c:v>UGV</c:v>
                </c:pt>
              </c:strCache>
            </c:strRef>
          </c:tx>
          <c:spPr>
            <a:solidFill>
              <a:schemeClr val="accent4"/>
            </a:solidFill>
            <a:ln>
              <a:noFill/>
            </a:ln>
            <a:effectLst/>
          </c:spPr>
          <c:invertIfNegative val="0"/>
          <c:cat>
            <c:strRef>
              <c:f>pivots!$A$3:$A$7</c:f>
              <c:strCache>
                <c:ptCount val="4"/>
                <c:pt idx="0">
                  <c:v>APAC</c:v>
                </c:pt>
                <c:pt idx="1">
                  <c:v>EU</c:v>
                </c:pt>
                <c:pt idx="2">
                  <c:v>ME</c:v>
                </c:pt>
                <c:pt idx="3">
                  <c:v>NA</c:v>
                </c:pt>
              </c:strCache>
            </c:strRef>
          </c:cat>
          <c:val>
            <c:numRef>
              <c:f>pivots!$E$3:$E$7</c:f>
              <c:numCache>
                <c:formatCode>General</c:formatCode>
                <c:ptCount val="4"/>
                <c:pt idx="1">
                  <c:v>0.8666666666666667</c:v>
                </c:pt>
                <c:pt idx="2">
                  <c:v>0.84499999999999997</c:v>
                </c:pt>
                <c:pt idx="3">
                  <c:v>0.86</c:v>
                </c:pt>
              </c:numCache>
            </c:numRef>
          </c:val>
          <c:extLst>
            <c:ext xmlns:c16="http://schemas.microsoft.com/office/drawing/2014/chart" uri="{C3380CC4-5D6E-409C-BE32-E72D297353CC}">
              <c16:uniqueId val="{00000004-FE4E-4502-8DBD-051D5289CD81}"/>
            </c:ext>
          </c:extLst>
        </c:ser>
        <c:dLbls>
          <c:showLegendKey val="0"/>
          <c:showVal val="0"/>
          <c:showCatName val="0"/>
          <c:showSerName val="0"/>
          <c:showPercent val="0"/>
          <c:showBubbleSize val="0"/>
        </c:dLbls>
        <c:gapWidth val="219"/>
        <c:overlap val="-27"/>
        <c:axId val="1243160176"/>
        <c:axId val="1128900720"/>
      </c:barChart>
      <c:catAx>
        <c:axId val="12431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8900720"/>
        <c:crosses val="autoZero"/>
        <c:auto val="1"/>
        <c:lblAlgn val="ctr"/>
        <c:lblOffset val="100"/>
        <c:noMultiLvlLbl val="0"/>
      </c:catAx>
      <c:valAx>
        <c:axId val="112890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316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alpha val="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2 - pivot + scenarios -2.xlsx]pivots!Mission Performance Table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Average Response Time Per 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pivots!$T$1</c:f>
              <c:strCache>
                <c:ptCount val="1"/>
                <c:pt idx="0">
                  <c:v>Total</c:v>
                </c:pt>
              </c:strCache>
            </c:strRef>
          </c:tx>
          <c:spPr>
            <a:solidFill>
              <a:schemeClr val="accent2"/>
            </a:solidFill>
            <a:ln>
              <a:noFill/>
            </a:ln>
            <a:effectLst>
              <a:outerShdw blurRad="63500" sx="102000" sy="102000" algn="ctr" rotWithShape="0">
                <a:prstClr val="black">
                  <a:alpha val="40000"/>
                </a:prstClr>
              </a:outerShdw>
            </a:effectLst>
          </c:spPr>
          <c:invertIfNegative val="0"/>
          <c:cat>
            <c:strRef>
              <c:f>pivots!$S$2:$S$8</c:f>
              <c:strCache>
                <c:ptCount val="6"/>
                <c:pt idx="0">
                  <c:v>Detection</c:v>
                </c:pt>
                <c:pt idx="1">
                  <c:v>Guidance</c:v>
                </c:pt>
                <c:pt idx="2">
                  <c:v>Patrol</c:v>
                </c:pt>
                <c:pt idx="3">
                  <c:v>Strike</c:v>
                </c:pt>
                <c:pt idx="4">
                  <c:v>Surveillance</c:v>
                </c:pt>
                <c:pt idx="5">
                  <c:v>Tracking</c:v>
                </c:pt>
              </c:strCache>
            </c:strRef>
          </c:cat>
          <c:val>
            <c:numRef>
              <c:f>pivots!$T$2:$T$8</c:f>
              <c:numCache>
                <c:formatCode>General</c:formatCode>
                <c:ptCount val="6"/>
                <c:pt idx="0">
                  <c:v>135.66666666666666</c:v>
                </c:pt>
                <c:pt idx="1">
                  <c:v>84.714285714285708</c:v>
                </c:pt>
                <c:pt idx="2">
                  <c:v>259.28571428571428</c:v>
                </c:pt>
                <c:pt idx="3">
                  <c:v>245</c:v>
                </c:pt>
                <c:pt idx="4">
                  <c:v>177.5</c:v>
                </c:pt>
                <c:pt idx="5">
                  <c:v>96.625</c:v>
                </c:pt>
              </c:numCache>
            </c:numRef>
          </c:val>
          <c:extLst>
            <c:ext xmlns:c16="http://schemas.microsoft.com/office/drawing/2014/chart" uri="{C3380CC4-5D6E-409C-BE32-E72D297353CC}">
              <c16:uniqueId val="{00000000-859E-4900-8FF2-412FD721DB99}"/>
            </c:ext>
          </c:extLst>
        </c:ser>
        <c:dLbls>
          <c:showLegendKey val="0"/>
          <c:showVal val="0"/>
          <c:showCatName val="0"/>
          <c:showSerName val="0"/>
          <c:showPercent val="0"/>
          <c:showBubbleSize val="0"/>
        </c:dLbls>
        <c:gapWidth val="182"/>
        <c:axId val="1687235456"/>
        <c:axId val="1687234016"/>
      </c:barChart>
      <c:catAx>
        <c:axId val="168723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7234016"/>
        <c:crosses val="autoZero"/>
        <c:auto val="1"/>
        <c:lblAlgn val="ctr"/>
        <c:lblOffset val="100"/>
        <c:noMultiLvlLbl val="0"/>
      </c:catAx>
      <c:valAx>
        <c:axId val="1687234016"/>
        <c:scaling>
          <c:orientation val="minMax"/>
        </c:scaling>
        <c:delete val="0"/>
        <c:axPos val="b"/>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7235456"/>
        <c:crosses val="autoZero"/>
        <c:crossBetween val="between"/>
      </c:valAx>
      <c:spPr>
        <a:noFill/>
        <a:ln>
          <a:solidFill>
            <a:schemeClr val="accent1">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alpha val="0"/>
      </a:schemeClr>
    </a:solidFill>
    <a:ln w="9525" cap="flat" cmpd="sng" algn="ctr">
      <a:solidFill>
        <a:schemeClr val="accent1">
          <a:alpha val="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2 - pivot + scenarios -2.xlsx]pivots!Regional Deployment Table</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System</a:t>
            </a:r>
            <a:r>
              <a:rPr lang="en-US" baseline="0">
                <a:solidFill>
                  <a:schemeClr val="bg1"/>
                </a:solidFill>
              </a:rPr>
              <a:t> Count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pivots!$J$15</c:f>
              <c:strCache>
                <c:ptCount val="1"/>
                <c:pt idx="0">
                  <c:v>Total</c:v>
                </c:pt>
              </c:strCache>
            </c:strRef>
          </c:tx>
          <c:spPr>
            <a:solidFill>
              <a:schemeClr val="accent4"/>
            </a:solidFill>
            <a:ln>
              <a:noFill/>
            </a:ln>
            <a:effectLst>
              <a:outerShdw blurRad="63500" sx="102000" sy="102000" algn="ctr" rotWithShape="0">
                <a:prstClr val="black">
                  <a:alpha val="40000"/>
                </a:prstClr>
              </a:outerShdw>
            </a:effectLst>
          </c:spPr>
          <c:invertIfNegative val="0"/>
          <c:cat>
            <c:strRef>
              <c:f>pivots!$I$16:$I$20</c:f>
              <c:strCache>
                <c:ptCount val="4"/>
                <c:pt idx="0">
                  <c:v>APAC</c:v>
                </c:pt>
                <c:pt idx="1">
                  <c:v>EU</c:v>
                </c:pt>
                <c:pt idx="2">
                  <c:v>ME</c:v>
                </c:pt>
                <c:pt idx="3">
                  <c:v>NA</c:v>
                </c:pt>
              </c:strCache>
            </c:strRef>
          </c:cat>
          <c:val>
            <c:numRef>
              <c:f>pivots!$J$16:$J$20</c:f>
              <c:numCache>
                <c:formatCode>General</c:formatCode>
                <c:ptCount val="4"/>
                <c:pt idx="0">
                  <c:v>12</c:v>
                </c:pt>
                <c:pt idx="1">
                  <c:v>16</c:v>
                </c:pt>
                <c:pt idx="2">
                  <c:v>13</c:v>
                </c:pt>
                <c:pt idx="3">
                  <c:v>12</c:v>
                </c:pt>
              </c:numCache>
            </c:numRef>
          </c:val>
          <c:extLst>
            <c:ext xmlns:c16="http://schemas.microsoft.com/office/drawing/2014/chart" uri="{C3380CC4-5D6E-409C-BE32-E72D297353CC}">
              <c16:uniqueId val="{00000000-600A-49C2-8EF7-8C1F20CE49A6}"/>
            </c:ext>
          </c:extLst>
        </c:ser>
        <c:dLbls>
          <c:showLegendKey val="0"/>
          <c:showVal val="0"/>
          <c:showCatName val="0"/>
          <c:showSerName val="0"/>
          <c:showPercent val="0"/>
          <c:showBubbleSize val="0"/>
        </c:dLbls>
        <c:gapWidth val="219"/>
        <c:overlap val="-27"/>
        <c:axId val="1860988368"/>
        <c:axId val="1860982608"/>
      </c:barChart>
      <c:catAx>
        <c:axId val="186098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0982608"/>
        <c:crosses val="autoZero"/>
        <c:auto val="1"/>
        <c:lblAlgn val="ctr"/>
        <c:lblOffset val="100"/>
        <c:noMultiLvlLbl val="0"/>
      </c:catAx>
      <c:valAx>
        <c:axId val="186098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098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alpha val="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pivot + scenarios -2.xlsx]pivots!PivotTable68</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Energy Consumption (kWh)</a:t>
            </a:r>
            <a:r>
              <a:rPr lang="en-US" baseline="0">
                <a:solidFill>
                  <a:schemeClr val="bg1"/>
                </a:solidFill>
              </a:rPr>
              <a:t> Per Platform</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pivots!$Q$14</c:f>
              <c:strCache>
                <c:ptCount val="1"/>
                <c:pt idx="0">
                  <c:v>Total</c:v>
                </c:pt>
              </c:strCache>
            </c:strRef>
          </c:tx>
          <c:spPr>
            <a:solidFill>
              <a:schemeClr val="accent6"/>
            </a:solidFill>
            <a:ln>
              <a:noFill/>
            </a:ln>
            <a:effectLst>
              <a:outerShdw blurRad="63500" sx="102000" sy="102000" algn="ctr" rotWithShape="0">
                <a:prstClr val="black">
                  <a:alpha val="40000"/>
                </a:prstClr>
              </a:outerShdw>
            </a:effectLst>
          </c:spPr>
          <c:invertIfNegative val="0"/>
          <c:cat>
            <c:strRef>
              <c:f>pivots!$P$15:$P$19</c:f>
              <c:strCache>
                <c:ptCount val="4"/>
                <c:pt idx="0">
                  <c:v>Drone</c:v>
                </c:pt>
                <c:pt idx="1">
                  <c:v>Radar</c:v>
                </c:pt>
                <c:pt idx="2">
                  <c:v>Satellite</c:v>
                </c:pt>
                <c:pt idx="3">
                  <c:v>UGV</c:v>
                </c:pt>
              </c:strCache>
            </c:strRef>
          </c:cat>
          <c:val>
            <c:numRef>
              <c:f>pivots!$Q$15:$Q$19</c:f>
              <c:numCache>
                <c:formatCode>General</c:formatCode>
                <c:ptCount val="4"/>
                <c:pt idx="0">
                  <c:v>7575</c:v>
                </c:pt>
                <c:pt idx="1">
                  <c:v>13950</c:v>
                </c:pt>
                <c:pt idx="2">
                  <c:v>23810</c:v>
                </c:pt>
                <c:pt idx="3">
                  <c:v>4750</c:v>
                </c:pt>
              </c:numCache>
            </c:numRef>
          </c:val>
          <c:extLst>
            <c:ext xmlns:c16="http://schemas.microsoft.com/office/drawing/2014/chart" uri="{C3380CC4-5D6E-409C-BE32-E72D297353CC}">
              <c16:uniqueId val="{00000000-9A6A-4CA2-AF0A-E8ED56544DCC}"/>
            </c:ext>
          </c:extLst>
        </c:ser>
        <c:dLbls>
          <c:showLegendKey val="0"/>
          <c:showVal val="0"/>
          <c:showCatName val="0"/>
          <c:showSerName val="0"/>
          <c:showPercent val="0"/>
          <c:showBubbleSize val="0"/>
        </c:dLbls>
        <c:gapWidth val="219"/>
        <c:overlap val="-27"/>
        <c:axId val="1243144256"/>
        <c:axId val="1243145696"/>
      </c:barChart>
      <c:catAx>
        <c:axId val="124314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145696"/>
        <c:crosses val="autoZero"/>
        <c:auto val="1"/>
        <c:lblAlgn val="ctr"/>
        <c:lblOffset val="100"/>
        <c:noMultiLvlLbl val="0"/>
      </c:catAx>
      <c:valAx>
        <c:axId val="124314569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314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alpha val="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2 - pivot + scenarios -2.xlsx]pivots!PivotTable69</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Count Deployment Per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pivots!$G$26:$G$27</c:f>
              <c:strCache>
                <c:ptCount val="1"/>
                <c:pt idx="0">
                  <c:v>Drone</c:v>
                </c:pt>
              </c:strCache>
            </c:strRef>
          </c:tx>
          <c:spPr>
            <a:ln w="28575" cap="rnd">
              <a:solidFill>
                <a:schemeClr val="accent5">
                  <a:shade val="58000"/>
                </a:schemeClr>
              </a:solidFill>
              <a:round/>
            </a:ln>
            <a:effectLst>
              <a:outerShdw blurRad="50800" dist="38100" dir="5400000" algn="t" rotWithShape="0">
                <a:prstClr val="black">
                  <a:alpha val="40000"/>
                </a:prstClr>
              </a:outerShdw>
            </a:effectLst>
          </c:spPr>
          <c:marker>
            <c:symbol val="none"/>
          </c:marker>
          <c:cat>
            <c:multiLvlStrRef>
              <c:f>pivots!$F$28:$F$35</c:f>
              <c:multiLvlStrCache>
                <c:ptCount val="5"/>
                <c:lvl>
                  <c:pt idx="0">
                    <c:v>Qtr1</c:v>
                  </c:pt>
                  <c:pt idx="1">
                    <c:v>Qtr2</c:v>
                  </c:pt>
                  <c:pt idx="2">
                    <c:v>Qtr3</c:v>
                  </c:pt>
                  <c:pt idx="3">
                    <c:v>Qtr4</c:v>
                  </c:pt>
                  <c:pt idx="4">
                    <c:v>Qtr1</c:v>
                  </c:pt>
                </c:lvl>
                <c:lvl>
                  <c:pt idx="0">
                    <c:v>2024</c:v>
                  </c:pt>
                  <c:pt idx="4">
                    <c:v>2025</c:v>
                  </c:pt>
                </c:lvl>
              </c:multiLvlStrCache>
            </c:multiLvlStrRef>
          </c:cat>
          <c:val>
            <c:numRef>
              <c:f>pivots!$G$28:$G$35</c:f>
              <c:numCache>
                <c:formatCode>General</c:formatCode>
                <c:ptCount val="5"/>
                <c:pt idx="0">
                  <c:v>5</c:v>
                </c:pt>
                <c:pt idx="1">
                  <c:v>2</c:v>
                </c:pt>
                <c:pt idx="2">
                  <c:v>3</c:v>
                </c:pt>
                <c:pt idx="3">
                  <c:v>3</c:v>
                </c:pt>
                <c:pt idx="4">
                  <c:v>3</c:v>
                </c:pt>
              </c:numCache>
            </c:numRef>
          </c:val>
          <c:smooth val="0"/>
          <c:extLst>
            <c:ext xmlns:c16="http://schemas.microsoft.com/office/drawing/2014/chart" uri="{C3380CC4-5D6E-409C-BE32-E72D297353CC}">
              <c16:uniqueId val="{00000000-D9E8-4125-9ABE-EC3527043F62}"/>
            </c:ext>
          </c:extLst>
        </c:ser>
        <c:ser>
          <c:idx val="1"/>
          <c:order val="1"/>
          <c:tx>
            <c:strRef>
              <c:f>pivots!$H$26:$H$27</c:f>
              <c:strCache>
                <c:ptCount val="1"/>
                <c:pt idx="0">
                  <c:v>Radar</c:v>
                </c:pt>
              </c:strCache>
            </c:strRef>
          </c:tx>
          <c:spPr>
            <a:ln w="28575" cap="rnd">
              <a:solidFill>
                <a:schemeClr val="accent5">
                  <a:shade val="86000"/>
                </a:schemeClr>
              </a:solidFill>
              <a:round/>
            </a:ln>
            <a:effectLst/>
          </c:spPr>
          <c:marker>
            <c:symbol val="none"/>
          </c:marker>
          <c:cat>
            <c:multiLvlStrRef>
              <c:f>pivots!$F$28:$F$35</c:f>
              <c:multiLvlStrCache>
                <c:ptCount val="5"/>
                <c:lvl>
                  <c:pt idx="0">
                    <c:v>Qtr1</c:v>
                  </c:pt>
                  <c:pt idx="1">
                    <c:v>Qtr2</c:v>
                  </c:pt>
                  <c:pt idx="2">
                    <c:v>Qtr3</c:v>
                  </c:pt>
                  <c:pt idx="3">
                    <c:v>Qtr4</c:v>
                  </c:pt>
                  <c:pt idx="4">
                    <c:v>Qtr1</c:v>
                  </c:pt>
                </c:lvl>
                <c:lvl>
                  <c:pt idx="0">
                    <c:v>2024</c:v>
                  </c:pt>
                  <c:pt idx="4">
                    <c:v>2025</c:v>
                  </c:pt>
                </c:lvl>
              </c:multiLvlStrCache>
            </c:multiLvlStrRef>
          </c:cat>
          <c:val>
            <c:numRef>
              <c:f>pivots!$H$28:$H$35</c:f>
              <c:numCache>
                <c:formatCode>General</c:formatCode>
                <c:ptCount val="5"/>
                <c:pt idx="0">
                  <c:v>3</c:v>
                </c:pt>
                <c:pt idx="1">
                  <c:v>3</c:v>
                </c:pt>
                <c:pt idx="2">
                  <c:v>3</c:v>
                </c:pt>
                <c:pt idx="3">
                  <c:v>3</c:v>
                </c:pt>
                <c:pt idx="4">
                  <c:v>3</c:v>
                </c:pt>
              </c:numCache>
            </c:numRef>
          </c:val>
          <c:smooth val="0"/>
          <c:extLst>
            <c:ext xmlns:c16="http://schemas.microsoft.com/office/drawing/2014/chart" uri="{C3380CC4-5D6E-409C-BE32-E72D297353CC}">
              <c16:uniqueId val="{00000001-9C65-421D-96FC-C6BB0C560981}"/>
            </c:ext>
          </c:extLst>
        </c:ser>
        <c:ser>
          <c:idx val="2"/>
          <c:order val="2"/>
          <c:tx>
            <c:strRef>
              <c:f>pivots!$I$26:$I$27</c:f>
              <c:strCache>
                <c:ptCount val="1"/>
                <c:pt idx="0">
                  <c:v>Satellite</c:v>
                </c:pt>
              </c:strCache>
            </c:strRef>
          </c:tx>
          <c:spPr>
            <a:ln w="28575" cap="rnd">
              <a:solidFill>
                <a:schemeClr val="accent5">
                  <a:tint val="86000"/>
                </a:schemeClr>
              </a:solidFill>
              <a:round/>
            </a:ln>
            <a:effectLst>
              <a:outerShdw blurRad="63500" sx="102000" sy="102000" algn="ctr" rotWithShape="0">
                <a:prstClr val="black">
                  <a:alpha val="40000"/>
                </a:prstClr>
              </a:outerShdw>
            </a:effectLst>
          </c:spPr>
          <c:marker>
            <c:symbol val="none"/>
          </c:marker>
          <c:cat>
            <c:multiLvlStrRef>
              <c:f>pivots!$F$28:$F$35</c:f>
              <c:multiLvlStrCache>
                <c:ptCount val="5"/>
                <c:lvl>
                  <c:pt idx="0">
                    <c:v>Qtr1</c:v>
                  </c:pt>
                  <c:pt idx="1">
                    <c:v>Qtr2</c:v>
                  </c:pt>
                  <c:pt idx="2">
                    <c:v>Qtr3</c:v>
                  </c:pt>
                  <c:pt idx="3">
                    <c:v>Qtr4</c:v>
                  </c:pt>
                  <c:pt idx="4">
                    <c:v>Qtr1</c:v>
                  </c:pt>
                </c:lvl>
                <c:lvl>
                  <c:pt idx="0">
                    <c:v>2024</c:v>
                  </c:pt>
                  <c:pt idx="4">
                    <c:v>2025</c:v>
                  </c:pt>
                </c:lvl>
              </c:multiLvlStrCache>
            </c:multiLvlStrRef>
          </c:cat>
          <c:val>
            <c:numRef>
              <c:f>pivots!$I$28:$I$35</c:f>
              <c:numCache>
                <c:formatCode>General</c:formatCode>
                <c:ptCount val="5"/>
                <c:pt idx="0">
                  <c:v>3</c:v>
                </c:pt>
                <c:pt idx="1">
                  <c:v>3</c:v>
                </c:pt>
                <c:pt idx="2">
                  <c:v>3</c:v>
                </c:pt>
                <c:pt idx="3">
                  <c:v>3</c:v>
                </c:pt>
                <c:pt idx="4">
                  <c:v>3</c:v>
                </c:pt>
              </c:numCache>
            </c:numRef>
          </c:val>
          <c:smooth val="0"/>
          <c:extLst>
            <c:ext xmlns:c16="http://schemas.microsoft.com/office/drawing/2014/chart" uri="{C3380CC4-5D6E-409C-BE32-E72D297353CC}">
              <c16:uniqueId val="{00000002-9C65-421D-96FC-C6BB0C560981}"/>
            </c:ext>
          </c:extLst>
        </c:ser>
        <c:ser>
          <c:idx val="3"/>
          <c:order val="3"/>
          <c:tx>
            <c:strRef>
              <c:f>pivots!$J$26:$J$27</c:f>
              <c:strCache>
                <c:ptCount val="1"/>
                <c:pt idx="0">
                  <c:v>UGV</c:v>
                </c:pt>
              </c:strCache>
            </c:strRef>
          </c:tx>
          <c:spPr>
            <a:ln w="28575" cap="rnd">
              <a:solidFill>
                <a:schemeClr val="accent5">
                  <a:tint val="58000"/>
                </a:schemeClr>
              </a:solidFill>
              <a:round/>
            </a:ln>
            <a:effectLst/>
          </c:spPr>
          <c:marker>
            <c:symbol val="none"/>
          </c:marker>
          <c:cat>
            <c:multiLvlStrRef>
              <c:f>pivots!$F$28:$F$35</c:f>
              <c:multiLvlStrCache>
                <c:ptCount val="5"/>
                <c:lvl>
                  <c:pt idx="0">
                    <c:v>Qtr1</c:v>
                  </c:pt>
                  <c:pt idx="1">
                    <c:v>Qtr2</c:v>
                  </c:pt>
                  <c:pt idx="2">
                    <c:v>Qtr3</c:v>
                  </c:pt>
                  <c:pt idx="3">
                    <c:v>Qtr4</c:v>
                  </c:pt>
                  <c:pt idx="4">
                    <c:v>Qtr1</c:v>
                  </c:pt>
                </c:lvl>
                <c:lvl>
                  <c:pt idx="0">
                    <c:v>2024</c:v>
                  </c:pt>
                  <c:pt idx="4">
                    <c:v>2025</c:v>
                  </c:pt>
                </c:lvl>
              </c:multiLvlStrCache>
            </c:multiLvlStrRef>
          </c:cat>
          <c:val>
            <c:numRef>
              <c:f>pivots!$J$28:$J$35</c:f>
              <c:numCache>
                <c:formatCode>General</c:formatCode>
                <c:ptCount val="5"/>
                <c:pt idx="0">
                  <c:v>1</c:v>
                </c:pt>
                <c:pt idx="1">
                  <c:v>2</c:v>
                </c:pt>
                <c:pt idx="2">
                  <c:v>1</c:v>
                </c:pt>
                <c:pt idx="3">
                  <c:v>2</c:v>
                </c:pt>
                <c:pt idx="4">
                  <c:v>1</c:v>
                </c:pt>
              </c:numCache>
            </c:numRef>
          </c:val>
          <c:smooth val="0"/>
          <c:extLst>
            <c:ext xmlns:c16="http://schemas.microsoft.com/office/drawing/2014/chart" uri="{C3380CC4-5D6E-409C-BE32-E72D297353CC}">
              <c16:uniqueId val="{00000004-9C65-421D-96FC-C6BB0C560981}"/>
            </c:ext>
          </c:extLst>
        </c:ser>
        <c:dLbls>
          <c:showLegendKey val="0"/>
          <c:showVal val="0"/>
          <c:showCatName val="0"/>
          <c:showSerName val="0"/>
          <c:showPercent val="0"/>
          <c:showBubbleSize val="0"/>
        </c:dLbls>
        <c:smooth val="0"/>
        <c:axId val="1239384208"/>
        <c:axId val="1239383248"/>
      </c:lineChart>
      <c:catAx>
        <c:axId val="12393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9383248"/>
        <c:crosses val="autoZero"/>
        <c:auto val="1"/>
        <c:lblAlgn val="ctr"/>
        <c:lblOffset val="100"/>
        <c:noMultiLvlLbl val="0"/>
      </c:catAx>
      <c:valAx>
        <c:axId val="123938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3938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alpha val="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pivot + scenarios -2.xlsx]pivots!PivotTable5</c:name>
    <c:fmtId val="2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Average</a:t>
            </a:r>
            <a:r>
              <a:rPr lang="en-US" baseline="0">
                <a:solidFill>
                  <a:schemeClr val="bg1"/>
                </a:solidFill>
              </a:rPr>
              <a:t> Annual Maintenance Cost Per Platform</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a:outerShdw blurRad="63500" sx="102000" sy="102000" algn="ctr" rotWithShape="0">
              <a:prstClr val="black">
                <a:alpha val="40000"/>
              </a:prstClr>
            </a:outerShdw>
          </a:effectLst>
        </c:spPr>
        <c:marker>
          <c:symbol val="none"/>
        </c:marker>
        <c:dLbl>
          <c:idx val="0"/>
          <c:spPr>
            <a:solidFill>
              <a:sysClr val="window" lastClr="FFFFFF"/>
            </a:solidFill>
            <a:ln>
              <a:solidFill>
                <a:srgbClr val="0E2841">
                  <a:lumMod val="75000"/>
                  <a:lumOff val="2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a:outerShdw blurRad="63500" sx="102000" sy="102000" algn="ctr" rotWithShape="0">
              <a:prstClr val="black">
                <a:alpha val="40000"/>
              </a:prstClr>
            </a:outerShdw>
          </a:effectLst>
        </c:spPr>
      </c:pivotFmt>
      <c:pivotFmt>
        <c:idx val="5"/>
        <c:spPr>
          <a:solidFill>
            <a:schemeClr val="accent2"/>
          </a:solidFill>
          <a:ln w="19050">
            <a:solidFill>
              <a:schemeClr val="lt1"/>
            </a:solidFill>
          </a:ln>
          <a:effectLst>
            <a:outerShdw blurRad="63500" sx="102000" sy="102000" algn="ctr" rotWithShape="0">
              <a:prstClr val="black">
                <a:alpha val="40000"/>
              </a:prstClr>
            </a:outerShdw>
          </a:effectLst>
        </c:spPr>
      </c:pivotFmt>
      <c:pivotFmt>
        <c:idx val="6"/>
        <c:spPr>
          <a:solidFill>
            <a:schemeClr val="accent2"/>
          </a:solidFill>
          <a:ln w="19050">
            <a:solidFill>
              <a:schemeClr val="lt1"/>
            </a:solidFill>
          </a:ln>
          <a:effectLst>
            <a:outerShdw blurRad="63500" sx="102000" sy="102000" algn="ctr" rotWithShape="0">
              <a:prstClr val="black">
                <a:alpha val="40000"/>
              </a:prstClr>
            </a:outerShdw>
          </a:effectLst>
        </c:spPr>
      </c:pivotFmt>
      <c:pivotFmt>
        <c:idx val="7"/>
        <c:spPr>
          <a:solidFill>
            <a:schemeClr val="accent2"/>
          </a:solidFill>
          <a:ln w="19050">
            <a:solidFill>
              <a:schemeClr val="lt1"/>
            </a:solidFill>
          </a:ln>
          <a:effectLst>
            <a:outerShdw blurRad="63500" sx="102000" sy="102000" algn="ctr" rotWithShape="0">
              <a:prstClr val="black">
                <a:alpha val="40000"/>
              </a:prstClr>
            </a:outerShdw>
          </a:effectLst>
        </c:spPr>
      </c:pivotFmt>
    </c:pivotFmts>
    <c:plotArea>
      <c:layout/>
      <c:pieChart>
        <c:varyColors val="1"/>
        <c:ser>
          <c:idx val="0"/>
          <c:order val="0"/>
          <c:tx>
            <c:strRef>
              <c:f>pivots!$B$11</c:f>
              <c:strCache>
                <c:ptCount val="1"/>
                <c:pt idx="0">
                  <c:v>Total</c:v>
                </c:pt>
              </c:strCache>
            </c:strRef>
          </c:tx>
          <c:spPr>
            <a:effectLst>
              <a:outerShdw blurRad="63500" sx="102000" sy="102000" algn="ctr" rotWithShape="0">
                <a:prstClr val="black">
                  <a:alpha val="40000"/>
                </a:prstClr>
              </a:outerShdw>
            </a:effectLst>
          </c:spPr>
          <c:dPt>
            <c:idx val="0"/>
            <c:bubble3D val="0"/>
            <c:spPr>
              <a:solidFill>
                <a:schemeClr val="accent2"/>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B9E7-448A-B747-2B5CE5424F15}"/>
              </c:ext>
            </c:extLst>
          </c:dPt>
          <c:dPt>
            <c:idx val="1"/>
            <c:bubble3D val="0"/>
            <c:spPr>
              <a:solidFill>
                <a:schemeClr val="accent4"/>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0299-4BBF-9DBB-EF077A0B0B6C}"/>
              </c:ext>
            </c:extLst>
          </c:dPt>
          <c:dPt>
            <c:idx val="2"/>
            <c:bubble3D val="0"/>
            <c:spPr>
              <a:solidFill>
                <a:schemeClr val="accent6"/>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0299-4BBF-9DBB-EF077A0B0B6C}"/>
              </c:ext>
            </c:extLst>
          </c:dPt>
          <c:dPt>
            <c:idx val="3"/>
            <c:bubble3D val="0"/>
            <c:spPr>
              <a:solidFill>
                <a:schemeClr val="accent2">
                  <a:lumMod val="60000"/>
                </a:schemeClr>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0299-4BBF-9DBB-EF077A0B0B6C}"/>
              </c:ext>
            </c:extLst>
          </c:dPt>
          <c:dLbls>
            <c:spPr>
              <a:solidFill>
                <a:sysClr val="window" lastClr="FFFFFF"/>
              </a:solidFill>
              <a:ln>
                <a:solidFill>
                  <a:srgbClr val="0E2841">
                    <a:lumMod val="75000"/>
                    <a:lumOff val="2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pivots!$A$12:$A$16</c:f>
              <c:strCache>
                <c:ptCount val="4"/>
                <c:pt idx="0">
                  <c:v>Drone</c:v>
                </c:pt>
                <c:pt idx="1">
                  <c:v>Radar</c:v>
                </c:pt>
                <c:pt idx="2">
                  <c:v>Satellite</c:v>
                </c:pt>
                <c:pt idx="3">
                  <c:v>UGV</c:v>
                </c:pt>
              </c:strCache>
            </c:strRef>
          </c:cat>
          <c:val>
            <c:numRef>
              <c:f>pivots!$B$12:$B$16</c:f>
              <c:numCache>
                <c:formatCode>_("$"* #,##0_);_("$"* \(#,##0\);_("$"* "-"??_);_(@_)</c:formatCode>
                <c:ptCount val="4"/>
                <c:pt idx="0">
                  <c:v>107250</c:v>
                </c:pt>
                <c:pt idx="1">
                  <c:v>137333.33333333334</c:v>
                </c:pt>
                <c:pt idx="2">
                  <c:v>158666.66666666666</c:v>
                </c:pt>
                <c:pt idx="3">
                  <c:v>107285.71428571429</c:v>
                </c:pt>
              </c:numCache>
            </c:numRef>
          </c:val>
          <c:extLst>
            <c:ext xmlns:c16="http://schemas.microsoft.com/office/drawing/2014/chart" uri="{C3380CC4-5D6E-409C-BE32-E72D297353CC}">
              <c16:uniqueId val="{00000002-B9E7-448A-B747-2B5CE5424F15}"/>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alpha val="0"/>
      </a:schemeClr>
    </a:solidFill>
    <a:ln w="9525" cap="flat" cmpd="sng" algn="ctr">
      <a:solidFill>
        <a:schemeClr val="accent1">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 pivot + scenarios -2.xlsx]pivots!PivotTable7</c:name>
    <c:fmtId val="1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Annual Budget Allocation Per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alpha val="95000"/>
              </a:schemeClr>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pivots!$B$40</c:f>
              <c:strCache>
                <c:ptCount val="1"/>
                <c:pt idx="0">
                  <c:v>Total</c:v>
                </c:pt>
              </c:strCache>
            </c:strRef>
          </c:tx>
          <c:spPr>
            <a:solidFill>
              <a:schemeClr val="accent2"/>
            </a:solidFill>
            <a:ln>
              <a:solidFill>
                <a:schemeClr val="accent2">
                  <a:alpha val="95000"/>
                </a:schemeClr>
              </a:solidFill>
            </a:ln>
            <a:effectLst>
              <a:outerShdw blurRad="63500" sx="102000" sy="102000" algn="ctr" rotWithShape="0">
                <a:prstClr val="black">
                  <a:alpha val="40000"/>
                </a:prstClr>
              </a:outerShdw>
            </a:effectLst>
          </c:spPr>
          <c:invertIfNegative val="0"/>
          <c:cat>
            <c:multiLvlStrRef>
              <c:f>pivots!$A$41:$A$53</c:f>
              <c:multiLvlStrCache>
                <c:ptCount val="8"/>
                <c:lvl>
                  <c:pt idx="0">
                    <c:v>2024</c:v>
                  </c:pt>
                  <c:pt idx="1">
                    <c:v>2025</c:v>
                  </c:pt>
                  <c:pt idx="2">
                    <c:v>2024</c:v>
                  </c:pt>
                  <c:pt idx="3">
                    <c:v>2025</c:v>
                  </c:pt>
                  <c:pt idx="4">
                    <c:v>2024</c:v>
                  </c:pt>
                  <c:pt idx="5">
                    <c:v>2025</c:v>
                  </c:pt>
                  <c:pt idx="6">
                    <c:v>2024</c:v>
                  </c:pt>
                  <c:pt idx="7">
                    <c:v>2025</c:v>
                  </c:pt>
                </c:lvl>
                <c:lvl>
                  <c:pt idx="0">
                    <c:v>Drone</c:v>
                  </c:pt>
                  <c:pt idx="2">
                    <c:v>Radar</c:v>
                  </c:pt>
                  <c:pt idx="4">
                    <c:v>Satellite</c:v>
                  </c:pt>
                  <c:pt idx="6">
                    <c:v>UGV</c:v>
                  </c:pt>
                </c:lvl>
              </c:multiLvlStrCache>
            </c:multiLvlStrRef>
          </c:cat>
          <c:val>
            <c:numRef>
              <c:f>pivots!$B$41:$B$53</c:f>
              <c:numCache>
                <c:formatCode>_("$"* #,##0_);_("$"* \(#,##0\);_("$"* "-"??_);_(@_)</c:formatCode>
                <c:ptCount val="8"/>
                <c:pt idx="0">
                  <c:v>60950000</c:v>
                </c:pt>
                <c:pt idx="1">
                  <c:v>14600000</c:v>
                </c:pt>
                <c:pt idx="2">
                  <c:v>89150000</c:v>
                </c:pt>
                <c:pt idx="3">
                  <c:v>22350000</c:v>
                </c:pt>
                <c:pt idx="4">
                  <c:v>111850000</c:v>
                </c:pt>
                <c:pt idx="5">
                  <c:v>27850000</c:v>
                </c:pt>
                <c:pt idx="6">
                  <c:v>25750000</c:v>
                </c:pt>
                <c:pt idx="7">
                  <c:v>3850000</c:v>
                </c:pt>
              </c:numCache>
            </c:numRef>
          </c:val>
          <c:extLst>
            <c:ext xmlns:c16="http://schemas.microsoft.com/office/drawing/2014/chart" uri="{C3380CC4-5D6E-409C-BE32-E72D297353CC}">
              <c16:uniqueId val="{00000000-F1D6-4B78-939B-221E3F1F7D6A}"/>
            </c:ext>
          </c:extLst>
        </c:ser>
        <c:dLbls>
          <c:showLegendKey val="0"/>
          <c:showVal val="0"/>
          <c:showCatName val="0"/>
          <c:showSerName val="0"/>
          <c:showPercent val="0"/>
          <c:showBubbleSize val="0"/>
        </c:dLbls>
        <c:gapWidth val="219"/>
        <c:overlap val="-27"/>
        <c:axId val="145667104"/>
        <c:axId val="145668544"/>
      </c:barChart>
      <c:catAx>
        <c:axId val="145667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668544"/>
        <c:crosses val="autoZero"/>
        <c:auto val="1"/>
        <c:lblAlgn val="ctr"/>
        <c:lblOffset val="100"/>
        <c:noMultiLvlLbl val="0"/>
      </c:catAx>
      <c:valAx>
        <c:axId val="145668544"/>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66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160020</xdr:colOff>
      <xdr:row>1</xdr:row>
      <xdr:rowOff>30480</xdr:rowOff>
    </xdr:from>
    <xdr:to>
      <xdr:col>12</xdr:col>
      <xdr:colOff>121920</xdr:colOff>
      <xdr:row>13</xdr:row>
      <xdr:rowOff>114300</xdr:rowOff>
    </xdr:to>
    <xdr:sp macro="" textlink="">
      <xdr:nvSpPr>
        <xdr:cNvPr id="2" name="Rectangle 1">
          <a:extLst>
            <a:ext uri="{FF2B5EF4-FFF2-40B4-BE49-F238E27FC236}">
              <a16:creationId xmlns:a16="http://schemas.microsoft.com/office/drawing/2014/main" id="{6E3A8EC5-885B-02E7-1515-A4B4B9BB6348}"/>
            </a:ext>
          </a:extLst>
        </xdr:cNvPr>
        <xdr:cNvSpPr/>
      </xdr:nvSpPr>
      <xdr:spPr>
        <a:xfrm>
          <a:off x="3817620" y="213360"/>
          <a:ext cx="7269480" cy="49453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929640</xdr:colOff>
      <xdr:row>6</xdr:row>
      <xdr:rowOff>60960</xdr:rowOff>
    </xdr:from>
    <xdr:to>
      <xdr:col>9</xdr:col>
      <xdr:colOff>312420</xdr:colOff>
      <xdr:row>21</xdr:row>
      <xdr:rowOff>60960</xdr:rowOff>
    </xdr:to>
    <xdr:graphicFrame macro="">
      <xdr:nvGraphicFramePr>
        <xdr:cNvPr id="3" name="Chart 2">
          <a:extLst>
            <a:ext uri="{FF2B5EF4-FFF2-40B4-BE49-F238E27FC236}">
              <a16:creationId xmlns:a16="http://schemas.microsoft.com/office/drawing/2014/main" id="{31188F98-9A97-4DFA-A902-615CAAA80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320040</xdr:colOff>
      <xdr:row>22</xdr:row>
      <xdr:rowOff>76200</xdr:rowOff>
    </xdr:from>
    <xdr:to>
      <xdr:col>14</xdr:col>
      <xdr:colOff>220980</xdr:colOff>
      <xdr:row>37</xdr:row>
      <xdr:rowOff>76200</xdr:rowOff>
    </xdr:to>
    <xdr:graphicFrame macro="">
      <xdr:nvGraphicFramePr>
        <xdr:cNvPr id="4" name="Chart 3">
          <a:extLst>
            <a:ext uri="{FF2B5EF4-FFF2-40B4-BE49-F238E27FC236}">
              <a16:creationId xmlns:a16="http://schemas.microsoft.com/office/drawing/2014/main" id="{4F717189-08CD-4799-B181-38EB6EA8C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373380</xdr:colOff>
      <xdr:row>6</xdr:row>
      <xdr:rowOff>38100</xdr:rowOff>
    </xdr:from>
    <xdr:to>
      <xdr:col>14</xdr:col>
      <xdr:colOff>274320</xdr:colOff>
      <xdr:row>21</xdr:row>
      <xdr:rowOff>38100</xdr:rowOff>
    </xdr:to>
    <xdr:graphicFrame macro="">
      <xdr:nvGraphicFramePr>
        <xdr:cNvPr id="5" name="Chart 4">
          <a:extLst>
            <a:ext uri="{FF2B5EF4-FFF2-40B4-BE49-F238E27FC236}">
              <a16:creationId xmlns:a16="http://schemas.microsoft.com/office/drawing/2014/main" id="{97FDFB12-6E18-4A47-A797-0C639375E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1021080</xdr:colOff>
      <xdr:row>39</xdr:row>
      <xdr:rowOff>30480</xdr:rowOff>
    </xdr:from>
    <xdr:to>
      <xdr:col>9</xdr:col>
      <xdr:colOff>327660</xdr:colOff>
      <xdr:row>54</xdr:row>
      <xdr:rowOff>30480</xdr:rowOff>
    </xdr:to>
    <xdr:graphicFrame macro="">
      <xdr:nvGraphicFramePr>
        <xdr:cNvPr id="8" name="Chart 7">
          <a:extLst>
            <a:ext uri="{FF2B5EF4-FFF2-40B4-BE49-F238E27FC236}">
              <a16:creationId xmlns:a16="http://schemas.microsoft.com/office/drawing/2014/main" id="{AAC0C2D1-DB35-4032-ABF0-D550CBB11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312420</xdr:colOff>
      <xdr:row>4</xdr:row>
      <xdr:rowOff>160020</xdr:rowOff>
    </xdr:from>
    <xdr:to>
      <xdr:col>18</xdr:col>
      <xdr:colOff>1196340</xdr:colOff>
      <xdr:row>13</xdr:row>
      <xdr:rowOff>15240</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38F2D45A-DC59-45C5-B2F8-A1AC5315BC4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374880" y="1036320"/>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365760</xdr:colOff>
      <xdr:row>13</xdr:row>
      <xdr:rowOff>60959</xdr:rowOff>
    </xdr:from>
    <xdr:to>
      <xdr:col>18</xdr:col>
      <xdr:colOff>1249680</xdr:colOff>
      <xdr:row>21</xdr:row>
      <xdr:rowOff>76199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70F9A00-59EF-4D4D-A3F9-A5C76B9EF2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28220" y="2583179"/>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21</xdr:row>
      <xdr:rowOff>68580</xdr:rowOff>
    </xdr:from>
    <xdr:to>
      <xdr:col>18</xdr:col>
      <xdr:colOff>1257300</xdr:colOff>
      <xdr:row>33</xdr:row>
      <xdr:rowOff>167640</xdr:rowOff>
    </xdr:to>
    <mc:AlternateContent xmlns:mc="http://schemas.openxmlformats.org/markup-compatibility/2006" xmlns:a14="http://schemas.microsoft.com/office/drawing/2010/main">
      <mc:Choice Requires="a14">
        <xdr:graphicFrame macro="">
          <xdr:nvGraphicFramePr>
            <xdr:cNvPr id="11" name="Mission_Type">
              <a:extLst>
                <a:ext uri="{FF2B5EF4-FFF2-40B4-BE49-F238E27FC236}">
                  <a16:creationId xmlns:a16="http://schemas.microsoft.com/office/drawing/2014/main" id="{BADDF4C9-FC01-42C0-B8B5-591F98F7EBA6}"/>
                </a:ext>
              </a:extLst>
            </xdr:cNvPr>
            <xdr:cNvGraphicFramePr/>
          </xdr:nvGraphicFramePr>
          <xdr:xfrm>
            <a:off x="0" y="0"/>
            <a:ext cx="0" cy="0"/>
          </xdr:xfrm>
          <a:graphic>
            <a:graphicData uri="http://schemas.microsoft.com/office/drawing/2010/slicer">
              <sle:slicer xmlns:sle="http://schemas.microsoft.com/office/drawing/2010/slicer" name="Mission_Type"/>
            </a:graphicData>
          </a:graphic>
        </xdr:graphicFrame>
      </mc:Choice>
      <mc:Fallback xmlns="">
        <xdr:sp macro="" textlink="">
          <xdr:nvSpPr>
            <xdr:cNvPr id="0" name=""/>
            <xdr:cNvSpPr>
              <a:spLocks noTextEdit="1"/>
            </xdr:cNvSpPr>
          </xdr:nvSpPr>
          <xdr:spPr>
            <a:xfrm>
              <a:off x="12435840" y="4053840"/>
              <a:ext cx="1828800" cy="2293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952500</xdr:colOff>
      <xdr:row>22</xdr:row>
      <xdr:rowOff>129540</xdr:rowOff>
    </xdr:from>
    <xdr:to>
      <xdr:col>9</xdr:col>
      <xdr:colOff>335280</xdr:colOff>
      <xdr:row>37</xdr:row>
      <xdr:rowOff>129540</xdr:rowOff>
    </xdr:to>
    <xdr:graphicFrame macro="">
      <xdr:nvGraphicFramePr>
        <xdr:cNvPr id="12" name="Chart 11">
          <a:extLst>
            <a:ext uri="{FF2B5EF4-FFF2-40B4-BE49-F238E27FC236}">
              <a16:creationId xmlns:a16="http://schemas.microsoft.com/office/drawing/2014/main" id="{30370135-7384-4CEB-A219-F0FD8DDC4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396240</xdr:colOff>
      <xdr:row>34</xdr:row>
      <xdr:rowOff>30480</xdr:rowOff>
    </xdr:from>
    <xdr:to>
      <xdr:col>19</xdr:col>
      <xdr:colOff>53340</xdr:colOff>
      <xdr:row>41</xdr:row>
      <xdr:rowOff>121920</xdr:rowOff>
    </xdr:to>
    <mc:AlternateContent xmlns:mc="http://schemas.openxmlformats.org/markup-compatibility/2006" xmlns:tsle="http://schemas.microsoft.com/office/drawing/2012/timeslicer">
      <mc:Choice Requires="tsle">
        <xdr:graphicFrame macro="">
          <xdr:nvGraphicFramePr>
            <xdr:cNvPr id="13" name="Deployment_Date">
              <a:extLst>
                <a:ext uri="{FF2B5EF4-FFF2-40B4-BE49-F238E27FC236}">
                  <a16:creationId xmlns:a16="http://schemas.microsoft.com/office/drawing/2014/main" id="{0AD37152-1306-425F-936E-F2FC320C24F1}"/>
                </a:ext>
              </a:extLst>
            </xdr:cNvPr>
            <xdr:cNvGraphicFramePr/>
          </xdr:nvGraphicFramePr>
          <xdr:xfrm>
            <a:off x="0" y="0"/>
            <a:ext cx="0" cy="0"/>
          </xdr:xfrm>
          <a:graphic>
            <a:graphicData uri="http://schemas.microsoft.com/office/drawing/2012/timeslicer">
              <tsle:timeslicer name="Deployment_Date"/>
            </a:graphicData>
          </a:graphic>
        </xdr:graphicFrame>
      </mc:Choice>
      <mc:Fallback xmlns="">
        <xdr:sp macro="" textlink="">
          <xdr:nvSpPr>
            <xdr:cNvPr id="0" name=""/>
            <xdr:cNvSpPr>
              <a:spLocks noTextEdit="1"/>
            </xdr:cNvSpPr>
          </xdr:nvSpPr>
          <xdr:spPr>
            <a:xfrm>
              <a:off x="12458700" y="6393180"/>
              <a:ext cx="18669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601980</xdr:colOff>
      <xdr:row>56</xdr:row>
      <xdr:rowOff>106680</xdr:rowOff>
    </xdr:from>
    <xdr:to>
      <xdr:col>15</xdr:col>
      <xdr:colOff>7620</xdr:colOff>
      <xdr:row>71</xdr:row>
      <xdr:rowOff>106680</xdr:rowOff>
    </xdr:to>
    <xdr:graphicFrame macro="">
      <xdr:nvGraphicFramePr>
        <xdr:cNvPr id="15" name="Chart 14">
          <a:extLst>
            <a:ext uri="{FF2B5EF4-FFF2-40B4-BE49-F238E27FC236}">
              <a16:creationId xmlns:a16="http://schemas.microsoft.com/office/drawing/2014/main" id="{50A39584-7AE8-4438-8D67-3D079EFA0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845820</xdr:colOff>
      <xdr:row>56</xdr:row>
      <xdr:rowOff>144780</xdr:rowOff>
    </xdr:from>
    <xdr:to>
      <xdr:col>9</xdr:col>
      <xdr:colOff>228600</xdr:colOff>
      <xdr:row>71</xdr:row>
      <xdr:rowOff>144780</xdr:rowOff>
    </xdr:to>
    <xdr:graphicFrame macro="">
      <xdr:nvGraphicFramePr>
        <xdr:cNvPr id="16" name="Chart 15">
          <a:extLst>
            <a:ext uri="{FF2B5EF4-FFF2-40B4-BE49-F238E27FC236}">
              <a16:creationId xmlns:a16="http://schemas.microsoft.com/office/drawing/2014/main" id="{0FA5E251-39BE-4F3C-8B24-9719405DD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861060</xdr:colOff>
      <xdr:row>56</xdr:row>
      <xdr:rowOff>76200</xdr:rowOff>
    </xdr:from>
    <xdr:to>
      <xdr:col>14</xdr:col>
      <xdr:colOff>259080</xdr:colOff>
      <xdr:row>72</xdr:row>
      <xdr:rowOff>114300</xdr:rowOff>
    </xdr:to>
    <xdr:sp macro="" textlink="">
      <xdr:nvSpPr>
        <xdr:cNvPr id="2" name="Rectangle 1">
          <a:extLst>
            <a:ext uri="{FF2B5EF4-FFF2-40B4-BE49-F238E27FC236}">
              <a16:creationId xmlns:a16="http://schemas.microsoft.com/office/drawing/2014/main" id="{B96D9B26-8D70-D30C-7A86-B807D749C24A}"/>
            </a:ext>
          </a:extLst>
        </xdr:cNvPr>
        <xdr:cNvSpPr/>
      </xdr:nvSpPr>
      <xdr:spPr>
        <a:xfrm>
          <a:off x="1470660" y="10462260"/>
          <a:ext cx="9258300" cy="296418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853440</xdr:colOff>
      <xdr:row>39</xdr:row>
      <xdr:rowOff>38100</xdr:rowOff>
    </xdr:from>
    <xdr:to>
      <xdr:col>14</xdr:col>
      <xdr:colOff>251460</xdr:colOff>
      <xdr:row>55</xdr:row>
      <xdr:rowOff>76200</xdr:rowOff>
    </xdr:to>
    <xdr:sp macro="" textlink="">
      <xdr:nvSpPr>
        <xdr:cNvPr id="6" name="Rectangle 5">
          <a:extLst>
            <a:ext uri="{FF2B5EF4-FFF2-40B4-BE49-F238E27FC236}">
              <a16:creationId xmlns:a16="http://schemas.microsoft.com/office/drawing/2014/main" id="{4AE479B7-544A-4826-AE8F-5E1BE41365C5}"/>
            </a:ext>
          </a:extLst>
        </xdr:cNvPr>
        <xdr:cNvSpPr/>
      </xdr:nvSpPr>
      <xdr:spPr>
        <a:xfrm>
          <a:off x="1463040" y="7315200"/>
          <a:ext cx="9258300" cy="296418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861060</xdr:colOff>
      <xdr:row>22</xdr:row>
      <xdr:rowOff>15240</xdr:rowOff>
    </xdr:from>
    <xdr:to>
      <xdr:col>14</xdr:col>
      <xdr:colOff>259080</xdr:colOff>
      <xdr:row>38</xdr:row>
      <xdr:rowOff>53340</xdr:rowOff>
    </xdr:to>
    <xdr:sp macro="" textlink="">
      <xdr:nvSpPr>
        <xdr:cNvPr id="7" name="Rectangle 6">
          <a:extLst>
            <a:ext uri="{FF2B5EF4-FFF2-40B4-BE49-F238E27FC236}">
              <a16:creationId xmlns:a16="http://schemas.microsoft.com/office/drawing/2014/main" id="{4EAD64AF-3578-4FCD-ADDB-853EF2BF77BB}"/>
            </a:ext>
          </a:extLst>
        </xdr:cNvPr>
        <xdr:cNvSpPr/>
      </xdr:nvSpPr>
      <xdr:spPr>
        <a:xfrm>
          <a:off x="1470660" y="4183380"/>
          <a:ext cx="9258300" cy="296418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876300</xdr:colOff>
      <xdr:row>5</xdr:row>
      <xdr:rowOff>7620</xdr:rowOff>
    </xdr:from>
    <xdr:to>
      <xdr:col>14</xdr:col>
      <xdr:colOff>274320</xdr:colOff>
      <xdr:row>21</xdr:row>
      <xdr:rowOff>45720</xdr:rowOff>
    </xdr:to>
    <xdr:sp macro="" textlink="">
      <xdr:nvSpPr>
        <xdr:cNvPr id="14" name="Rectangle 13">
          <a:extLst>
            <a:ext uri="{FF2B5EF4-FFF2-40B4-BE49-F238E27FC236}">
              <a16:creationId xmlns:a16="http://schemas.microsoft.com/office/drawing/2014/main" id="{2909A942-2E09-45CC-8D1B-9AA5FA73BF4F}"/>
            </a:ext>
          </a:extLst>
        </xdr:cNvPr>
        <xdr:cNvSpPr/>
      </xdr:nvSpPr>
      <xdr:spPr>
        <a:xfrm>
          <a:off x="1485900" y="1066800"/>
          <a:ext cx="9258300" cy="296418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198120</xdr:colOff>
      <xdr:row>8</xdr:row>
      <xdr:rowOff>83820</xdr:rowOff>
    </xdr:from>
    <xdr:to>
      <xdr:col>1</xdr:col>
      <xdr:colOff>594360</xdr:colOff>
      <xdr:row>15</xdr:row>
      <xdr:rowOff>99060</xdr:rowOff>
    </xdr:to>
    <xdr:sp macro="" textlink="">
      <xdr:nvSpPr>
        <xdr:cNvPr id="17" name="TextBox 16">
          <a:extLst>
            <a:ext uri="{FF2B5EF4-FFF2-40B4-BE49-F238E27FC236}">
              <a16:creationId xmlns:a16="http://schemas.microsoft.com/office/drawing/2014/main" id="{84451D8F-D289-7E35-4683-186610EF3C59}"/>
            </a:ext>
          </a:extLst>
        </xdr:cNvPr>
        <xdr:cNvSpPr txBox="1"/>
      </xdr:nvSpPr>
      <xdr:spPr>
        <a:xfrm>
          <a:off x="198120" y="1691640"/>
          <a:ext cx="1005840" cy="1295400"/>
        </a:xfrm>
        <a:prstGeom prst="rect">
          <a:avLst/>
        </a:prstGeom>
        <a:no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accent4">
                  <a:lumMod val="60000"/>
                  <a:lumOff val="40000"/>
                </a:schemeClr>
              </a:solidFill>
            </a:rPr>
            <a:t>Regional</a:t>
          </a:r>
        </a:p>
        <a:p>
          <a:pPr algn="ctr"/>
          <a:r>
            <a:rPr lang="en-US" sz="1600" b="0">
              <a:solidFill>
                <a:schemeClr val="accent4">
                  <a:lumMod val="60000"/>
                  <a:lumOff val="40000"/>
                </a:schemeClr>
              </a:solidFill>
            </a:rPr>
            <a:t>Analysis</a:t>
          </a:r>
        </a:p>
      </xdr:txBody>
    </xdr:sp>
    <xdr:clientData/>
  </xdr:twoCellAnchor>
  <xdr:twoCellAnchor>
    <xdr:from>
      <xdr:col>0</xdr:col>
      <xdr:colOff>236220</xdr:colOff>
      <xdr:row>25</xdr:row>
      <xdr:rowOff>175260</xdr:rowOff>
    </xdr:from>
    <xdr:to>
      <xdr:col>1</xdr:col>
      <xdr:colOff>632460</xdr:colOff>
      <xdr:row>33</xdr:row>
      <xdr:rowOff>7620</xdr:rowOff>
    </xdr:to>
    <xdr:sp macro="" textlink="">
      <xdr:nvSpPr>
        <xdr:cNvPr id="18" name="TextBox 17">
          <a:extLst>
            <a:ext uri="{FF2B5EF4-FFF2-40B4-BE49-F238E27FC236}">
              <a16:creationId xmlns:a16="http://schemas.microsoft.com/office/drawing/2014/main" id="{E9178453-6DCB-49C5-8246-C66B282E3FA9}"/>
            </a:ext>
          </a:extLst>
        </xdr:cNvPr>
        <xdr:cNvSpPr txBox="1"/>
      </xdr:nvSpPr>
      <xdr:spPr>
        <a:xfrm>
          <a:off x="236220" y="4892040"/>
          <a:ext cx="1005840" cy="1295400"/>
        </a:xfrm>
        <a:prstGeom prst="rect">
          <a:avLst/>
        </a:prstGeom>
        <a:no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accent4">
                  <a:lumMod val="60000"/>
                  <a:lumOff val="40000"/>
                </a:schemeClr>
              </a:solidFill>
            </a:rPr>
            <a:t>Mission</a:t>
          </a:r>
        </a:p>
        <a:p>
          <a:pPr algn="ctr"/>
          <a:r>
            <a:rPr lang="en-US" sz="1600" b="0">
              <a:solidFill>
                <a:schemeClr val="accent4">
                  <a:lumMod val="60000"/>
                  <a:lumOff val="40000"/>
                </a:schemeClr>
              </a:solidFill>
            </a:rPr>
            <a:t>Analysis</a:t>
          </a:r>
        </a:p>
      </xdr:txBody>
    </xdr:sp>
    <xdr:clientData/>
  </xdr:twoCellAnchor>
  <xdr:twoCellAnchor>
    <xdr:from>
      <xdr:col>0</xdr:col>
      <xdr:colOff>220980</xdr:colOff>
      <xdr:row>44</xdr:row>
      <xdr:rowOff>0</xdr:rowOff>
    </xdr:from>
    <xdr:to>
      <xdr:col>1</xdr:col>
      <xdr:colOff>617220</xdr:colOff>
      <xdr:row>51</xdr:row>
      <xdr:rowOff>15240</xdr:rowOff>
    </xdr:to>
    <xdr:sp macro="" textlink="">
      <xdr:nvSpPr>
        <xdr:cNvPr id="19" name="TextBox 18">
          <a:extLst>
            <a:ext uri="{FF2B5EF4-FFF2-40B4-BE49-F238E27FC236}">
              <a16:creationId xmlns:a16="http://schemas.microsoft.com/office/drawing/2014/main" id="{3114F994-1C4F-45F2-98B5-CC1DF539D7C2}"/>
            </a:ext>
          </a:extLst>
        </xdr:cNvPr>
        <xdr:cNvSpPr txBox="1"/>
      </xdr:nvSpPr>
      <xdr:spPr>
        <a:xfrm>
          <a:off x="220980" y="8191500"/>
          <a:ext cx="1005840" cy="1295400"/>
        </a:xfrm>
        <a:prstGeom prst="rect">
          <a:avLst/>
        </a:prstGeom>
        <a:no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accent4">
                  <a:lumMod val="60000"/>
                  <a:lumOff val="40000"/>
                </a:schemeClr>
              </a:solidFill>
            </a:rPr>
            <a:t>Energy</a:t>
          </a:r>
        </a:p>
        <a:p>
          <a:pPr algn="ctr"/>
          <a:r>
            <a:rPr lang="en-US" sz="1600" b="0">
              <a:solidFill>
                <a:schemeClr val="accent4">
                  <a:lumMod val="60000"/>
                  <a:lumOff val="40000"/>
                </a:schemeClr>
              </a:solidFill>
            </a:rPr>
            <a:t>Analysis</a:t>
          </a:r>
        </a:p>
      </xdr:txBody>
    </xdr:sp>
    <xdr:clientData/>
  </xdr:twoCellAnchor>
  <xdr:twoCellAnchor>
    <xdr:from>
      <xdr:col>0</xdr:col>
      <xdr:colOff>236220</xdr:colOff>
      <xdr:row>61</xdr:row>
      <xdr:rowOff>76200</xdr:rowOff>
    </xdr:from>
    <xdr:to>
      <xdr:col>1</xdr:col>
      <xdr:colOff>632460</xdr:colOff>
      <xdr:row>68</xdr:row>
      <xdr:rowOff>91440</xdr:rowOff>
    </xdr:to>
    <xdr:sp macro="" textlink="">
      <xdr:nvSpPr>
        <xdr:cNvPr id="20" name="TextBox 19">
          <a:extLst>
            <a:ext uri="{FF2B5EF4-FFF2-40B4-BE49-F238E27FC236}">
              <a16:creationId xmlns:a16="http://schemas.microsoft.com/office/drawing/2014/main" id="{B56F5E84-A24A-4830-A2E8-1AB3AF5FFC87}"/>
            </a:ext>
          </a:extLst>
        </xdr:cNvPr>
        <xdr:cNvSpPr txBox="1"/>
      </xdr:nvSpPr>
      <xdr:spPr>
        <a:xfrm>
          <a:off x="236220" y="11376660"/>
          <a:ext cx="1005840" cy="1295400"/>
        </a:xfrm>
        <a:prstGeom prst="rect">
          <a:avLst/>
        </a:prstGeom>
        <a:no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accent4">
                  <a:lumMod val="60000"/>
                  <a:lumOff val="40000"/>
                </a:schemeClr>
              </a:solidFill>
            </a:rPr>
            <a:t>Budget</a:t>
          </a:r>
        </a:p>
        <a:p>
          <a:pPr algn="ctr"/>
          <a:r>
            <a:rPr lang="en-US" sz="1600" b="0">
              <a:solidFill>
                <a:schemeClr val="accent4">
                  <a:lumMod val="60000"/>
                  <a:lumOff val="40000"/>
                </a:schemeClr>
              </a:solidFill>
            </a:rPr>
            <a:t>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m silini" refreshedDate="46061.989810648149" createdVersion="8" refreshedVersion="8" minRefreshableVersion="3" recordCount="100" xr:uid="{B1C3C126-8C23-428D-8454-3E96CB1BBEAD}">
  <cacheSource type="worksheet">
    <worksheetSource name="data1"/>
  </cacheSource>
  <cacheFields count="24">
    <cacheField name="System_ID" numFmtId="0">
      <sharedItems/>
    </cacheField>
    <cacheField name="Platform" numFmtId="0">
      <sharedItems count="4">
        <s v="Drone"/>
        <s v="Satellite"/>
        <s v="Radar"/>
        <s v="UGV"/>
      </sharedItems>
    </cacheField>
    <cacheField name="System_Type" numFmtId="0">
      <sharedItems/>
    </cacheField>
    <cacheField name="Manufacturer" numFmtId="0">
      <sharedItems/>
    </cacheField>
    <cacheField name="Deployment_Date" numFmtId="14">
      <sharedItems containsSemiMixedTypes="0" containsNonDate="0" containsDate="1" containsString="0" minDate="2024-01-05T00:00:00" maxDate="2026-01-29T00:00:00" count="100">
        <d v="2024-01-05T00:00:00"/>
        <d v="2024-01-10T00:00:00"/>
        <d v="2024-01-14T00:00:00"/>
        <d v="2024-01-18T00:00:00"/>
        <d v="2024-01-22T00:00:00"/>
        <d v="2024-02-01T00:00:00"/>
        <d v="2024-02-05T00:00:00"/>
        <d v="2024-02-12T00:00:00"/>
        <d v="2024-02-20T00:00:00"/>
        <d v="2024-03-01T00:00:00"/>
        <d v="2024-03-08T00:00:00"/>
        <d v="2024-03-15T00:00:00"/>
        <d v="2024-03-22T00:00:00"/>
        <d v="2024-04-02T00:00:00"/>
        <d v="2024-04-10T00:00:00"/>
        <d v="2024-04-18T00:00:00"/>
        <d v="2024-04-25T00:00:00"/>
        <d v="2024-05-03T00:00:00"/>
        <d v="2024-05-11T00:00:00"/>
        <d v="2024-05-20T00:00:00"/>
        <d v="2024-06-01T00:00:00"/>
        <d v="2024-06-10T00:00:00"/>
        <d v="2024-06-18T00:00:00"/>
        <d v="2024-06-25T00:00:00"/>
        <d v="2024-07-03T00:00:00"/>
        <d v="2024-07-10T00:00:00"/>
        <d v="2024-07-15T00:00:00"/>
        <d v="2024-07-20T00:00:00"/>
        <d v="2024-08-01T00:00:00"/>
        <d v="2024-08-09T00:00:00"/>
        <d v="2024-08-18T00:00:00"/>
        <d v="2024-08-25T00:00:00"/>
        <d v="2024-09-01T00:00:00"/>
        <d v="2024-09-09T00:00:00"/>
        <d v="2024-09-17T00:00:00"/>
        <d v="2024-09-25T00:00:00"/>
        <d v="2024-10-03T00:00:00"/>
        <d v="2024-10-11T00:00:00"/>
        <d v="2024-10-18T00:00:00"/>
        <d v="2024-10-26T00:00:00"/>
        <d v="2024-11-03T00:00:00"/>
        <d v="2024-11-10T00:00:00"/>
        <d v="2024-11-18T00:00:00"/>
        <d v="2024-11-26T00:00:00"/>
        <d v="2024-12-02T00:00:00"/>
        <d v="2024-12-10T00:00:00"/>
        <d v="2024-12-18T00:00:00"/>
        <d v="2024-12-25T00:00:00"/>
        <d v="2025-01-02T00:00:00"/>
        <d v="2025-01-10T00:00:00"/>
        <d v="2025-01-18T00:00:00"/>
        <d v="2025-01-25T00:00:00"/>
        <d v="2025-02-02T00:00:00"/>
        <d v="2025-02-10T00:00:00"/>
        <d v="2025-02-18T00:00:00"/>
        <d v="2025-02-26T00:00:00"/>
        <d v="2025-03-05T00:00:00"/>
        <d v="2025-03-12T00:00:00"/>
        <d v="2025-03-20T00:00:00"/>
        <d v="2025-03-28T00:00:00"/>
        <d v="2025-04-05T00:00:00"/>
        <d v="2025-04-12T00:00:00"/>
        <d v="2025-04-20T00:00:00"/>
        <d v="2025-04-28T00:00:00"/>
        <d v="2025-05-05T00:00:00"/>
        <d v="2025-05-13T00:00:00"/>
        <d v="2025-05-21T00:00:00"/>
        <d v="2025-05-29T00:00:00"/>
        <d v="2025-06-05T00:00:00"/>
        <d v="2025-06-13T00:00:00"/>
        <d v="2025-06-21T00:00:00"/>
        <d v="2025-06-29T00:00:00"/>
        <d v="2025-07-05T00:00:00"/>
        <d v="2025-07-12T00:00:00"/>
        <d v="2025-07-20T00:00:00"/>
        <d v="2025-07-28T00:00:00"/>
        <d v="2025-08-05T00:00:00"/>
        <d v="2025-08-12T00:00:00"/>
        <d v="2025-08-20T00:00:00"/>
        <d v="2025-08-28T00:00:00"/>
        <d v="2025-09-05T00:00:00"/>
        <d v="2025-09-12T00:00:00"/>
        <d v="2025-09-20T00:00:00"/>
        <d v="2025-09-28T00:00:00"/>
        <d v="2025-10-05T00:00:00"/>
        <d v="2025-10-12T00:00:00"/>
        <d v="2025-10-20T00:00:00"/>
        <d v="2025-10-28T00:00:00"/>
        <d v="2025-11-05T00:00:00"/>
        <d v="2025-11-12T00:00:00"/>
        <d v="2025-11-20T00:00:00"/>
        <d v="2025-11-28T00:00:00"/>
        <d v="2025-12-05T00:00:00"/>
        <d v="2025-12-12T00:00:00"/>
        <d v="2025-12-20T00:00:00"/>
        <d v="2025-12-28T00:00:00"/>
        <d v="2026-01-05T00:00:00"/>
        <d v="2026-01-12T00:00:00"/>
        <d v="2026-01-20T00:00:00"/>
        <d v="2026-01-28T00:00:00"/>
      </sharedItems>
      <fieldGroup par="23"/>
    </cacheField>
    <cacheField name="Region" numFmtId="0">
      <sharedItems count="4">
        <s v="EU"/>
        <s v="ME"/>
        <s v="NA"/>
        <s v="APAC"/>
      </sharedItems>
    </cacheField>
    <cacheField name="Mission_Type" numFmtId="0">
      <sharedItems count="7">
        <s v="Surveillance"/>
        <s v="Strike"/>
        <s v="Tracking"/>
        <s v="Detection"/>
        <s v="Patrol"/>
        <s v="Guidance"/>
        <s v="Supply"/>
      </sharedItems>
    </cacheField>
    <cacheField name="Threat_Level" numFmtId="0">
      <sharedItems count="3">
        <s v="Medium"/>
        <s v="High"/>
        <s v="Low"/>
      </sharedItems>
    </cacheField>
    <cacheField name="Success_Rate" numFmtId="0">
      <sharedItems containsSemiMixedTypes="0" containsString="0" containsNumber="1" minValue="0.84" maxValue="0.98"/>
    </cacheField>
    <cacheField name="Response_Time_ms" numFmtId="0">
      <sharedItems containsSemiMixedTypes="0" containsString="0" containsNumber="1" containsInteger="1" minValue="80" maxValue="275"/>
    </cacheField>
    <cacheField name="Uptime_%" numFmtId="0">
      <sharedItems containsSemiMixedTypes="0" containsString="0" containsNumber="1" minValue="95.5" maxValue="99.9"/>
    </cacheField>
    <cacheField name="Maintenance_Hours_per_Month" numFmtId="0">
      <sharedItems containsSemiMixedTypes="0" containsString="0" containsNumber="1" containsInteger="1" minValue="6" maxValue="26"/>
    </cacheField>
    <cacheField name="Energy_Consumption_kWh" numFmtId="0">
      <sharedItems containsSemiMixedTypes="0" containsString="0" containsNumber="1" containsInteger="1" minValue="410" maxValue="1670"/>
    </cacheField>
    <cacheField name="Cost_per_Hour_USD" numFmtId="0">
      <sharedItems containsSemiMixedTypes="0" containsString="0" containsNumber="1" containsInteger="1" minValue="1690" maxValue="4950"/>
    </cacheField>
    <cacheField name="Annual_Operating_Hours" numFmtId="0">
      <sharedItems containsSemiMixedTypes="0" containsString="0" containsNumber="1" containsInteger="1" minValue="2000" maxValue="8450"/>
    </cacheField>
    <cacheField name="Annual_Maintenance_Cost_USD" numFmtId="164">
      <sharedItems containsSemiMixedTypes="0" containsString="0" containsNumber="1" containsInteger="1" minValue="82000" maxValue="172000"/>
    </cacheField>
    <cacheField name="Energy_Cost_per_kWh_USD" numFmtId="0">
      <sharedItems containsSemiMixedTypes="0" containsString="0" containsNumber="1" minValue="0.14000000000000001" maxValue="0.18"/>
    </cacheField>
    <cacheField name="Annual_Budget_Allocation_USD" numFmtId="164">
      <sharedItems containsSemiMixedTypes="0" containsString="0" containsNumber="1" containsInteger="1" minValue="3600000" maxValue="9700000"/>
    </cacheField>
    <cacheField name="Replacement_Cost_USD" numFmtId="164">
      <sharedItems containsSemiMixedTypes="0" containsString="0" containsNumber="1" containsInteger="1" minValue="2480000" maxValue="13200000"/>
    </cacheField>
    <cacheField name="Deployment_Priority" numFmtId="0">
      <sharedItems containsSemiMixedTypes="0" containsString="0" containsNumber="1" containsInteger="1" minValue="3" maxValue="5"/>
    </cacheField>
    <cacheField name="Annua_ OP _Cost" numFmtId="0">
      <sharedItems containsSemiMixedTypes="0" containsString="0" containsNumber="1" containsInteger="1" minValue="3500000" maxValue="41574000"/>
    </cacheField>
    <cacheField name="Months (Deployment_Date)" numFmtId="0" databaseField="0">
      <fieldGroup base="4">
        <rangePr groupBy="months" startDate="2024-01-05T00:00:00" endDate="2026-01-29T00:00:00"/>
        <groupItems count="14">
          <s v="&lt;1/5/2024"/>
          <s v="Jan"/>
          <s v="Feb"/>
          <s v="Mar"/>
          <s v="Apr"/>
          <s v="May"/>
          <s v="Jun"/>
          <s v="Jul"/>
          <s v="Aug"/>
          <s v="Sep"/>
          <s v="Oct"/>
          <s v="Nov"/>
          <s v="Dec"/>
          <s v="&gt;1/29/2026"/>
        </groupItems>
      </fieldGroup>
    </cacheField>
    <cacheField name="Quarters (Deployment_Date)" numFmtId="0" databaseField="0">
      <fieldGroup base="4">
        <rangePr groupBy="quarters" startDate="2024-01-05T00:00:00" endDate="2026-01-29T00:00:00"/>
        <groupItems count="6">
          <s v="&lt;1/5/2024"/>
          <s v="Qtr1"/>
          <s v="Qtr2"/>
          <s v="Qtr3"/>
          <s v="Qtr4"/>
          <s v="&gt;1/29/2026"/>
        </groupItems>
      </fieldGroup>
    </cacheField>
    <cacheField name="Years (Deployment_Date)" numFmtId="0" databaseField="0">
      <fieldGroup base="4">
        <rangePr groupBy="years" startDate="2024-01-05T00:00:00" endDate="2026-01-29T00:00:00"/>
        <groupItems count="5">
          <s v="&lt;1/5/2024"/>
          <s v="2024"/>
          <s v="2025"/>
          <s v="2026"/>
          <s v="&gt;1/29/2026"/>
        </groupItems>
      </fieldGroup>
    </cacheField>
  </cacheFields>
  <extLst>
    <ext xmlns:x14="http://schemas.microsoft.com/office/spreadsheetml/2009/9/main" uri="{725AE2AE-9491-48be-B2B4-4EB974FC3084}">
      <x14:pivotCacheDefinition pivotCacheId="494271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SYS-001"/>
    <x v="0"/>
    <s v="ISR"/>
    <s v="AeroTech"/>
    <x v="0"/>
    <x v="0"/>
    <x v="0"/>
    <x v="0"/>
    <n v="0.93"/>
    <n v="180"/>
    <n v="99.1"/>
    <n v="12"/>
    <n v="420"/>
    <n v="1850"/>
    <n v="2200"/>
    <n v="85000"/>
    <n v="0.18"/>
    <n v="4100000"/>
    <n v="2800000"/>
    <n v="4"/>
    <n v="4070000"/>
  </r>
  <r>
    <s v="SYS-002"/>
    <x v="0"/>
    <s v="Combat"/>
    <s v="SkyForge"/>
    <x v="1"/>
    <x v="1"/>
    <x v="1"/>
    <x v="1"/>
    <n v="0.88"/>
    <n v="230"/>
    <n v="97.5"/>
    <n v="18"/>
    <n v="480"/>
    <n v="2100"/>
    <n v="2400"/>
    <n v="120000"/>
    <n v="0.18"/>
    <n v="5100000"/>
    <n v="3500000"/>
    <n v="5"/>
    <n v="5040000"/>
  </r>
  <r>
    <s v="SYS-003"/>
    <x v="1"/>
    <s v="ISR"/>
    <s v="OrbitalSys"/>
    <x v="2"/>
    <x v="2"/>
    <x v="2"/>
    <x v="0"/>
    <n v="0.96"/>
    <n v="95"/>
    <n v="99.8"/>
    <n v="9"/>
    <n v="1500"/>
    <n v="4500"/>
    <n v="8000"/>
    <n v="150000"/>
    <n v="0.14000000000000001"/>
    <n v="9100000"/>
    <n v="12000000"/>
    <n v="5"/>
    <n v="36000000"/>
  </r>
  <r>
    <s v="SYS-004"/>
    <x v="2"/>
    <s v="Defense"/>
    <s v="DefenCore"/>
    <x v="3"/>
    <x v="3"/>
    <x v="3"/>
    <x v="1"/>
    <n v="0.91"/>
    <n v="120"/>
    <n v="98.7"/>
    <n v="15"/>
    <n v="900"/>
    <n v="3200"/>
    <n v="6000"/>
    <n v="130000"/>
    <n v="0.16"/>
    <n v="7200000"/>
    <n v="9000000"/>
    <n v="5"/>
    <n v="19200000"/>
  </r>
  <r>
    <s v="SYS-005"/>
    <x v="3"/>
    <s v="Combat"/>
    <s v="MechaDyn"/>
    <x v="4"/>
    <x v="0"/>
    <x v="4"/>
    <x v="0"/>
    <n v="0.86"/>
    <n v="260"/>
    <n v="96.9"/>
    <n v="22"/>
    <n v="650"/>
    <n v="1750"/>
    <n v="2000"/>
    <n v="90000"/>
    <n v="0.17"/>
    <n v="3600000"/>
    <n v="2600000"/>
    <n v="3"/>
    <n v="3500000"/>
  </r>
  <r>
    <s v="SYS-006"/>
    <x v="0"/>
    <s v="ISR"/>
    <s v="AeroTech"/>
    <x v="5"/>
    <x v="2"/>
    <x v="0"/>
    <x v="2"/>
    <n v="0.94"/>
    <n v="170"/>
    <n v="99.3"/>
    <n v="11"/>
    <n v="410"/>
    <n v="1820"/>
    <n v="2300"/>
    <n v="82000"/>
    <n v="0.18"/>
    <n v="4200000"/>
    <n v="2800000"/>
    <n v="4"/>
    <n v="4186000"/>
  </r>
  <r>
    <s v="SYS-007"/>
    <x v="1"/>
    <s v="Navigation"/>
    <s v="OrbitalSys"/>
    <x v="6"/>
    <x v="3"/>
    <x v="5"/>
    <x v="2"/>
    <n v="0.97"/>
    <n v="85"/>
    <n v="99.9"/>
    <n v="7"/>
    <n v="1600"/>
    <n v="4800"/>
    <n v="8200"/>
    <n v="160000"/>
    <n v="0.14000000000000001"/>
    <n v="9400000"/>
    <n v="12500000"/>
    <n v="5"/>
    <n v="39360000"/>
  </r>
  <r>
    <s v="SYS-008"/>
    <x v="2"/>
    <s v="Defense"/>
    <s v="DefenCore"/>
    <x v="7"/>
    <x v="1"/>
    <x v="3"/>
    <x v="1"/>
    <n v="0.89"/>
    <n v="145"/>
    <n v="97.8"/>
    <n v="19"/>
    <n v="940"/>
    <n v="3300"/>
    <n v="6200"/>
    <n v="140000"/>
    <n v="0.16"/>
    <n v="7500000"/>
    <n v="9200000"/>
    <n v="5"/>
    <n v="20460000"/>
  </r>
  <r>
    <s v="SYS-009"/>
    <x v="0"/>
    <s v="Combat"/>
    <s v="SkyForge"/>
    <x v="8"/>
    <x v="0"/>
    <x v="1"/>
    <x v="1"/>
    <n v="0.85"/>
    <n v="250"/>
    <n v="96.2"/>
    <n v="23"/>
    <n v="510"/>
    <n v="2150"/>
    <n v="2400"/>
    <n v="125000"/>
    <n v="0.18"/>
    <n v="5200000"/>
    <n v="3600000"/>
    <n v="5"/>
    <n v="5160000"/>
  </r>
  <r>
    <s v="SYS-010"/>
    <x v="3"/>
    <s v="Logistics"/>
    <s v="MechaDyn"/>
    <x v="9"/>
    <x v="2"/>
    <x v="6"/>
    <x v="2"/>
    <n v="0.92"/>
    <n v="200"/>
    <n v="98.9"/>
    <n v="14"/>
    <n v="600"/>
    <n v="1700"/>
    <n v="2100"/>
    <n v="88000"/>
    <n v="0.17"/>
    <n v="3700000"/>
    <n v="2500000"/>
    <n v="3"/>
    <n v="3570000"/>
  </r>
  <r>
    <s v="SYS-011"/>
    <x v="1"/>
    <s v="ISR"/>
    <s v="OrbitalSys"/>
    <x v="10"/>
    <x v="0"/>
    <x v="2"/>
    <x v="0"/>
    <n v="0.95"/>
    <n v="100"/>
    <n v="99.5"/>
    <n v="10"/>
    <n v="1550"/>
    <n v="4600"/>
    <n v="8100"/>
    <n v="150000"/>
    <n v="0.14000000000000001"/>
    <n v="9000000"/>
    <n v="12000000"/>
    <n v="5"/>
    <n v="37260000"/>
  </r>
  <r>
    <s v="SYS-012"/>
    <x v="2"/>
    <s v="Defense"/>
    <s v="DefenCore"/>
    <x v="11"/>
    <x v="3"/>
    <x v="3"/>
    <x v="0"/>
    <n v="0.9"/>
    <n v="130"/>
    <n v="98.1"/>
    <n v="16"/>
    <n v="910"/>
    <n v="3250"/>
    <n v="6100"/>
    <n v="132000"/>
    <n v="0.16"/>
    <n v="7300000"/>
    <n v="9100000"/>
    <n v="4"/>
    <n v="19825000"/>
  </r>
  <r>
    <s v="SYS-013"/>
    <x v="0"/>
    <s v="ISR"/>
    <s v="AeroTech"/>
    <x v="12"/>
    <x v="1"/>
    <x v="0"/>
    <x v="1"/>
    <n v="0.91"/>
    <n v="190"/>
    <n v="98.5"/>
    <n v="13"/>
    <n v="430"/>
    <n v="1900"/>
    <n v="2300"/>
    <n v="90000"/>
    <n v="0.18"/>
    <n v="4300000"/>
    <n v="2900000"/>
    <n v="4"/>
    <n v="4370000"/>
  </r>
  <r>
    <s v="SYS-014"/>
    <x v="3"/>
    <s v="Combat"/>
    <s v="MechaDyn"/>
    <x v="13"/>
    <x v="0"/>
    <x v="4"/>
    <x v="0"/>
    <n v="0.87"/>
    <n v="240"/>
    <n v="97.2"/>
    <n v="21"/>
    <n v="670"/>
    <n v="1800"/>
    <n v="2100"/>
    <n v="95000"/>
    <n v="0.17"/>
    <n v="3800000"/>
    <n v="2700000"/>
    <n v="3"/>
    <n v="3780000"/>
  </r>
  <r>
    <s v="SYS-015"/>
    <x v="1"/>
    <s v="Navigation"/>
    <s v="OrbitalSys"/>
    <x v="14"/>
    <x v="2"/>
    <x v="5"/>
    <x v="2"/>
    <n v="0.98"/>
    <n v="80"/>
    <n v="99.9"/>
    <n v="6"/>
    <n v="1650"/>
    <n v="4900"/>
    <n v="8300"/>
    <n v="170000"/>
    <n v="0.14000000000000001"/>
    <n v="9600000"/>
    <n v="13000000"/>
    <n v="5"/>
    <n v="40670000"/>
  </r>
  <r>
    <s v="SYS-016"/>
    <x v="2"/>
    <s v="Defense"/>
    <s v="DefenCore"/>
    <x v="15"/>
    <x v="1"/>
    <x v="3"/>
    <x v="1"/>
    <n v="0.88"/>
    <n v="150"/>
    <n v="97.4"/>
    <n v="20"/>
    <n v="960"/>
    <n v="3350"/>
    <n v="6200"/>
    <n v="145000"/>
    <n v="0.16"/>
    <n v="7600000"/>
    <n v="9400000"/>
    <n v="5"/>
    <n v="20770000"/>
  </r>
  <r>
    <s v="SYS-017"/>
    <x v="0"/>
    <s v="Combat"/>
    <s v="SkyForge"/>
    <x v="16"/>
    <x v="3"/>
    <x v="1"/>
    <x v="1"/>
    <n v="0.86"/>
    <n v="245"/>
    <n v="96.5"/>
    <n v="22"/>
    <n v="520"/>
    <n v="2200"/>
    <n v="2500"/>
    <n v="130000"/>
    <n v="0.18"/>
    <n v="5300000"/>
    <n v="3700000"/>
    <n v="5"/>
    <n v="5500000"/>
  </r>
  <r>
    <s v="SYS-018"/>
    <x v="3"/>
    <s v="Logistics"/>
    <s v="MechaDyn"/>
    <x v="17"/>
    <x v="0"/>
    <x v="6"/>
    <x v="2"/>
    <n v="0.93"/>
    <n v="195"/>
    <n v="99"/>
    <n v="13"/>
    <n v="610"/>
    <n v="1720"/>
    <n v="2200"/>
    <n v="87000"/>
    <n v="0.17"/>
    <n v="3900000"/>
    <n v="2550000"/>
    <n v="3"/>
    <n v="3784000"/>
  </r>
  <r>
    <s v="SYS-019"/>
    <x v="1"/>
    <s v="ISR"/>
    <s v="OrbitalSys"/>
    <x v="18"/>
    <x v="1"/>
    <x v="2"/>
    <x v="0"/>
    <n v="0.94"/>
    <n v="105"/>
    <n v="99.2"/>
    <n v="11"/>
    <n v="1580"/>
    <n v="4700"/>
    <n v="8200"/>
    <n v="155000"/>
    <n v="0.14000000000000001"/>
    <n v="9300000"/>
    <n v="12300000"/>
    <n v="5"/>
    <n v="38540000"/>
  </r>
  <r>
    <s v="SYS-020"/>
    <x v="2"/>
    <s v="Defense"/>
    <s v="DefenCore"/>
    <x v="19"/>
    <x v="2"/>
    <x v="3"/>
    <x v="0"/>
    <n v="0.92"/>
    <n v="115"/>
    <n v="98.9"/>
    <n v="14"/>
    <n v="920"/>
    <n v="3280"/>
    <n v="6000"/>
    <n v="135000"/>
    <n v="0.16"/>
    <n v="7400000"/>
    <n v="9200000"/>
    <n v="4"/>
    <n v="19680000"/>
  </r>
  <r>
    <s v="SYS-021"/>
    <x v="0"/>
    <s v="ISR"/>
    <s v="AeroTech"/>
    <x v="20"/>
    <x v="3"/>
    <x v="0"/>
    <x v="0"/>
    <n v="0.92"/>
    <n v="175"/>
    <n v="98.8"/>
    <n v="12"/>
    <n v="440"/>
    <n v="1880"/>
    <n v="2250"/>
    <n v="89000"/>
    <n v="0.18"/>
    <n v="4250000"/>
    <n v="2850000"/>
    <n v="4"/>
    <n v="4230000"/>
  </r>
  <r>
    <s v="SYS-022"/>
    <x v="3"/>
    <s v="Combat"/>
    <s v="MechaDyn"/>
    <x v="21"/>
    <x v="1"/>
    <x v="4"/>
    <x v="1"/>
    <n v="0.84"/>
    <n v="270"/>
    <n v="95.8"/>
    <n v="25"/>
    <n v="700"/>
    <n v="1850"/>
    <n v="2600"/>
    <n v="140000"/>
    <n v="0.18"/>
    <n v="5400000"/>
    <n v="3900000"/>
    <n v="5"/>
    <n v="4810000"/>
  </r>
  <r>
    <s v="SYS-023"/>
    <x v="1"/>
    <s v="Navigation"/>
    <s v="OrbitalSys"/>
    <x v="22"/>
    <x v="0"/>
    <x v="5"/>
    <x v="2"/>
    <n v="0.97"/>
    <n v="88"/>
    <n v="99.7"/>
    <n v="8"/>
    <n v="1620"/>
    <n v="4850"/>
    <n v="8250"/>
    <n v="165000"/>
    <n v="0.14000000000000001"/>
    <n v="9500000"/>
    <n v="12800000"/>
    <n v="5"/>
    <n v="40012500"/>
  </r>
  <r>
    <s v="SYS-024"/>
    <x v="2"/>
    <s v="Defense"/>
    <s v="DefenCore"/>
    <x v="23"/>
    <x v="3"/>
    <x v="3"/>
    <x v="0"/>
    <n v="0.91"/>
    <n v="125"/>
    <n v="98.4"/>
    <n v="15"/>
    <n v="905"/>
    <n v="3220"/>
    <n v="6100"/>
    <n v="133000"/>
    <n v="0.16"/>
    <n v="7350000"/>
    <n v="9150000"/>
    <n v="4"/>
    <n v="19642000"/>
  </r>
  <r>
    <s v="SYS-025"/>
    <x v="0"/>
    <s v="Combat"/>
    <s v="SkyForge"/>
    <x v="24"/>
    <x v="2"/>
    <x v="1"/>
    <x v="1"/>
    <n v="0.87"/>
    <n v="255"/>
    <n v="96.6"/>
    <n v="21"/>
    <n v="530"/>
    <n v="2180"/>
    <n v="2450"/>
    <n v="126000"/>
    <n v="0.18"/>
    <n v="5150000"/>
    <n v="3550000"/>
    <n v="5"/>
    <n v="5341000"/>
  </r>
  <r>
    <s v="SYS-026"/>
    <x v="1"/>
    <s v="ISR"/>
    <s v="OrbitalSys"/>
    <x v="25"/>
    <x v="1"/>
    <x v="2"/>
    <x v="0"/>
    <n v="0.96"/>
    <n v="98"/>
    <n v="99.6"/>
    <n v="9"/>
    <n v="1520"/>
    <n v="4550"/>
    <n v="8100"/>
    <n v="152000"/>
    <n v="0.14000000000000001"/>
    <n v="9050000"/>
    <n v="12100000"/>
    <n v="5"/>
    <n v="36855000"/>
  </r>
  <r>
    <s v="SYS-027"/>
    <x v="3"/>
    <s v="Logistics"/>
    <s v="MechaDyn"/>
    <x v="26"/>
    <x v="3"/>
    <x v="6"/>
    <x v="2"/>
    <n v="0.94"/>
    <n v="190"/>
    <n v="99.1"/>
    <n v="12"/>
    <n v="620"/>
    <n v="1740"/>
    <n v="2150"/>
    <n v="88000"/>
    <n v="0.17"/>
    <n v="3750000"/>
    <n v="2480000"/>
    <n v="3"/>
    <n v="3741000"/>
  </r>
  <r>
    <s v="SYS-028"/>
    <x v="2"/>
    <s v="Defense"/>
    <s v="DefenCore"/>
    <x v="27"/>
    <x v="0"/>
    <x v="3"/>
    <x v="1"/>
    <n v="0.9"/>
    <n v="140"/>
    <n v="98"/>
    <n v="18"/>
    <n v="950"/>
    <n v="3340"/>
    <n v="6200"/>
    <n v="138000"/>
    <n v="0.16"/>
    <n v="7550000"/>
    <n v="9250000"/>
    <n v="5"/>
    <n v="20708000"/>
  </r>
  <r>
    <s v="SYS-029"/>
    <x v="0"/>
    <s v="ISR"/>
    <s v="AeroTech"/>
    <x v="28"/>
    <x v="2"/>
    <x v="0"/>
    <x v="2"/>
    <n v="0.95"/>
    <n v="165"/>
    <n v="99.4"/>
    <n v="10"/>
    <n v="415"/>
    <n v="1800"/>
    <n v="2300"/>
    <n v="86000"/>
    <n v="0.18"/>
    <n v="4150000"/>
    <n v="2780000"/>
    <n v="4"/>
    <n v="4140000"/>
  </r>
  <r>
    <s v="SYS-030"/>
    <x v="3"/>
    <s v="Combat"/>
    <s v="MechaDyn"/>
    <x v="29"/>
    <x v="1"/>
    <x v="4"/>
    <x v="1"/>
    <n v="0.85"/>
    <n v="265"/>
    <n v="95.9"/>
    <n v="24"/>
    <n v="690"/>
    <n v="1830"/>
    <n v="2000"/>
    <n v="93000"/>
    <n v="0.17"/>
    <n v="3600000"/>
    <n v="2550000"/>
    <n v="3"/>
    <n v="3660000"/>
  </r>
  <r>
    <s v="SYS-031"/>
    <x v="1"/>
    <s v="Navigation"/>
    <s v="OrbitalSys"/>
    <x v="30"/>
    <x v="3"/>
    <x v="5"/>
    <x v="2"/>
    <n v="0.98"/>
    <n v="83"/>
    <n v="99.8"/>
    <n v="7"/>
    <n v="1670"/>
    <n v="4950"/>
    <n v="8200"/>
    <n v="160000"/>
    <n v="0.14000000000000001"/>
    <n v="9450000"/>
    <n v="12600000"/>
    <n v="5"/>
    <n v="40590000"/>
  </r>
  <r>
    <s v="SYS-032"/>
    <x v="2"/>
    <s v="Defense"/>
    <s v="DefenCore"/>
    <x v="31"/>
    <x v="0"/>
    <x v="3"/>
    <x v="0"/>
    <n v="0.91"/>
    <n v="135"/>
    <n v="98.5"/>
    <n v="16"/>
    <n v="900"/>
    <n v="3260"/>
    <n v="6100"/>
    <n v="139000"/>
    <n v="0.16"/>
    <n v="7400000"/>
    <n v="9170000"/>
    <n v="4"/>
    <n v="19886000"/>
  </r>
  <r>
    <s v="SYS-033"/>
    <x v="0"/>
    <s v="Combat"/>
    <s v="SkyForge"/>
    <x v="32"/>
    <x v="2"/>
    <x v="1"/>
    <x v="1"/>
    <n v="0.86"/>
    <n v="240"/>
    <n v="96.4"/>
    <n v="22"/>
    <n v="525"/>
    <n v="2220"/>
    <n v="2500"/>
    <n v="128000"/>
    <n v="0.18"/>
    <n v="5250000"/>
    <n v="3650000"/>
    <n v="5"/>
    <n v="5550000"/>
  </r>
  <r>
    <s v="SYS-034"/>
    <x v="3"/>
    <s v="Logistics"/>
    <s v="MechaDyn"/>
    <x v="33"/>
    <x v="3"/>
    <x v="6"/>
    <x v="2"/>
    <n v="0.92"/>
    <n v="205"/>
    <n v="98.8"/>
    <n v="15"/>
    <n v="615"/>
    <n v="1710"/>
    <n v="2100"/>
    <n v="89000"/>
    <n v="0.17"/>
    <n v="3800000"/>
    <n v="2520000"/>
    <n v="3"/>
    <n v="3591000"/>
  </r>
  <r>
    <s v="SYS-035"/>
    <x v="1"/>
    <s v="ISR"/>
    <s v="OrbitalSys"/>
    <x v="34"/>
    <x v="0"/>
    <x v="2"/>
    <x v="0"/>
    <n v="0.95"/>
    <n v="90"/>
    <n v="99.5"/>
    <n v="9"/>
    <n v="1560"/>
    <n v="4650"/>
    <n v="8300"/>
    <n v="158000"/>
    <n v="0.14000000000000001"/>
    <n v="9150000"/>
    <n v="12400000"/>
    <n v="5"/>
    <n v="38595000"/>
  </r>
  <r>
    <s v="SYS-036"/>
    <x v="2"/>
    <s v="Defense"/>
    <s v="DefenCore"/>
    <x v="35"/>
    <x v="1"/>
    <x v="3"/>
    <x v="1"/>
    <n v="0.89"/>
    <n v="155"/>
    <n v="97.6"/>
    <n v="19"/>
    <n v="970"/>
    <n v="3380"/>
    <n v="6350"/>
    <n v="143000"/>
    <n v="0.16"/>
    <n v="7600000"/>
    <n v="9400000"/>
    <n v="5"/>
    <n v="21463000"/>
  </r>
  <r>
    <s v="SYS-037"/>
    <x v="0"/>
    <s v="ISR"/>
    <s v="AeroTech"/>
    <x v="36"/>
    <x v="3"/>
    <x v="0"/>
    <x v="0"/>
    <n v="0.93"/>
    <n v="185"/>
    <n v="98.9"/>
    <n v="11"/>
    <n v="435"/>
    <n v="1870"/>
    <n v="2250"/>
    <n v="91000"/>
    <n v="0.18"/>
    <n v="4300000"/>
    <n v="2850000"/>
    <n v="4"/>
    <n v="4207500"/>
  </r>
  <r>
    <s v="SYS-038"/>
    <x v="3"/>
    <s v="Combat"/>
    <s v="MechaDyn"/>
    <x v="37"/>
    <x v="2"/>
    <x v="4"/>
    <x v="0"/>
    <n v="0.88"/>
    <n v="250"/>
    <n v="97.3"/>
    <n v="20"/>
    <n v="660"/>
    <n v="1790"/>
    <n v="2050"/>
    <n v="97000"/>
    <n v="0.17"/>
    <n v="3850000"/>
    <n v="2650000"/>
    <n v="3"/>
    <n v="3669500"/>
  </r>
  <r>
    <s v="SYS-039"/>
    <x v="1"/>
    <s v="Navigation"/>
    <s v="OrbitalSys"/>
    <x v="38"/>
    <x v="1"/>
    <x v="5"/>
    <x v="2"/>
    <n v="0.97"/>
    <n v="89"/>
    <n v="99.7"/>
    <n v="8"/>
    <n v="1640"/>
    <n v="4870"/>
    <n v="8450"/>
    <n v="172000"/>
    <n v="0.14000000000000001"/>
    <n v="9700000"/>
    <n v="13200000"/>
    <n v="5"/>
    <n v="41151500"/>
  </r>
  <r>
    <s v="SYS-040"/>
    <x v="2"/>
    <s v="Defense"/>
    <s v="DefenCore"/>
    <x v="39"/>
    <x v="0"/>
    <x v="3"/>
    <x v="0"/>
    <n v="0.9"/>
    <n v="128"/>
    <n v="98.2"/>
    <n v="17"/>
    <n v="925"/>
    <n v="3240"/>
    <n v="6250"/>
    <n v="140000"/>
    <n v="0.16"/>
    <n v="7500000"/>
    <n v="9300000"/>
    <n v="5"/>
    <n v="20250000"/>
  </r>
  <r>
    <s v="SYS-041"/>
    <x v="0"/>
    <s v="Combat"/>
    <s v="SkyForge"/>
    <x v="40"/>
    <x v="3"/>
    <x v="1"/>
    <x v="1"/>
    <n v="0.85"/>
    <n v="260"/>
    <n v="96"/>
    <n v="23"/>
    <n v="540"/>
    <n v="2250"/>
    <n v="2600"/>
    <n v="135000"/>
    <n v="0.18"/>
    <n v="5400000"/>
    <n v="3750000"/>
    <n v="5"/>
    <n v="5850000"/>
  </r>
  <r>
    <s v="SYS-042"/>
    <x v="3"/>
    <s v="Logistics"/>
    <s v="MechaDyn"/>
    <x v="41"/>
    <x v="1"/>
    <x v="6"/>
    <x v="2"/>
    <n v="0.91"/>
    <n v="210"/>
    <n v="98.7"/>
    <n v="14"/>
    <n v="605"/>
    <n v="1690"/>
    <n v="2200"/>
    <n v="87000"/>
    <n v="0.17"/>
    <n v="3920000"/>
    <n v="2580000"/>
    <n v="3"/>
    <n v="3718000"/>
  </r>
  <r>
    <s v="SYS-043"/>
    <x v="1"/>
    <s v="ISR"/>
    <s v="OrbitalSys"/>
    <x v="42"/>
    <x v="2"/>
    <x v="2"/>
    <x v="0"/>
    <n v="0.96"/>
    <n v="94"/>
    <n v="99.6"/>
    <n v="10"/>
    <n v="1570"/>
    <n v="4680"/>
    <n v="8250"/>
    <n v="150000"/>
    <n v="0.14000000000000001"/>
    <n v="9050000"/>
    <n v="12000000"/>
    <n v="5"/>
    <n v="38610000"/>
  </r>
  <r>
    <s v="SYS-044"/>
    <x v="2"/>
    <s v="Defense"/>
    <s v="DefenCore"/>
    <x v="43"/>
    <x v="3"/>
    <x v="3"/>
    <x v="1"/>
    <n v="0.88"/>
    <n v="150"/>
    <n v="97.7"/>
    <n v="20"/>
    <n v="935"/>
    <n v="3300"/>
    <n v="6150"/>
    <n v="137000"/>
    <n v="0.16"/>
    <n v="7400000"/>
    <n v="9150000"/>
    <n v="4"/>
    <n v="20295000"/>
  </r>
  <r>
    <s v="SYS-045"/>
    <x v="0"/>
    <s v="ISR"/>
    <s v="AeroTech"/>
    <x v="44"/>
    <x v="0"/>
    <x v="0"/>
    <x v="2"/>
    <n v="0.94"/>
    <n v="170"/>
    <n v="99.3"/>
    <n v="12"/>
    <n v="425"/>
    <n v="1830"/>
    <n v="2280"/>
    <n v="89000"/>
    <n v="0.18"/>
    <n v="4250000"/>
    <n v="2810000"/>
    <n v="4"/>
    <n v="4172400"/>
  </r>
  <r>
    <s v="SYS-046"/>
    <x v="3"/>
    <s v="Combat"/>
    <s v="MechaDyn"/>
    <x v="45"/>
    <x v="2"/>
    <x v="4"/>
    <x v="1"/>
    <n v="0.84"/>
    <n v="275"/>
    <n v="95.5"/>
    <n v="26"/>
    <n v="710"/>
    <n v="1880"/>
    <n v="2700"/>
    <n v="142000"/>
    <n v="0.18"/>
    <n v="5500000"/>
    <n v="3950000"/>
    <n v="5"/>
    <n v="5076000"/>
  </r>
  <r>
    <s v="SYS-047"/>
    <x v="1"/>
    <s v="Navigation"/>
    <s v="OrbitalSys"/>
    <x v="46"/>
    <x v="1"/>
    <x v="5"/>
    <x v="2"/>
    <n v="0.97"/>
    <n v="87"/>
    <n v="99.8"/>
    <n v="6"/>
    <n v="1660"/>
    <n v="4930"/>
    <n v="8400"/>
    <n v="165000"/>
    <n v="0.14000000000000001"/>
    <n v="9550000"/>
    <n v="12900000"/>
    <n v="5"/>
    <n v="41412000"/>
  </r>
  <r>
    <s v="SYS-048"/>
    <x v="2"/>
    <s v="Defense"/>
    <s v="DefenCore"/>
    <x v="47"/>
    <x v="0"/>
    <x v="3"/>
    <x v="0"/>
    <n v="0.92"/>
    <n v="122"/>
    <n v="98.6"/>
    <n v="15"/>
    <n v="915"/>
    <n v="3270"/>
    <n v="6050"/>
    <n v="132000"/>
    <n v="0.16"/>
    <n v="7350000"/>
    <n v="9100000"/>
    <n v="4"/>
    <n v="19783500"/>
  </r>
  <r>
    <s v="SYS-049"/>
    <x v="0"/>
    <s v="Combat"/>
    <s v="SkyForge"/>
    <x v="48"/>
    <x v="3"/>
    <x v="1"/>
    <x v="1"/>
    <n v="0.88"/>
    <n v="235"/>
    <n v="96.8"/>
    <n v="20"/>
    <n v="515"/>
    <n v="2160"/>
    <n v="2450"/>
    <n v="125000"/>
    <n v="0.18"/>
    <n v="5120000"/>
    <n v="3550000"/>
    <n v="5"/>
    <n v="5292000"/>
  </r>
  <r>
    <s v="SYS-050"/>
    <x v="3"/>
    <s v="Logistics"/>
    <s v="MechaDyn"/>
    <x v="49"/>
    <x v="2"/>
    <x v="6"/>
    <x v="2"/>
    <n v="0.93"/>
    <n v="190"/>
    <n v="99.1"/>
    <n v="13"/>
    <n v="625"/>
    <n v="1750"/>
    <n v="2150"/>
    <n v="86000"/>
    <n v="0.17"/>
    <n v="3750000"/>
    <n v="2480000"/>
    <n v="3"/>
    <n v="3762500"/>
  </r>
  <r>
    <s v="SYS-051"/>
    <x v="1"/>
    <s v="ISR"/>
    <s v="OrbitalSys"/>
    <x v="50"/>
    <x v="0"/>
    <x v="2"/>
    <x v="0"/>
    <n v="0.95"/>
    <n v="93"/>
    <n v="99.5"/>
    <n v="9"/>
    <n v="1530"/>
    <n v="4580"/>
    <n v="8100"/>
    <n v="152000"/>
    <n v="0.14000000000000001"/>
    <n v="9100000"/>
    <n v="12150000"/>
    <n v="5"/>
    <n v="37098000"/>
  </r>
  <r>
    <s v="SYS-052"/>
    <x v="2"/>
    <s v="Defense"/>
    <s v="DefenCore"/>
    <x v="51"/>
    <x v="1"/>
    <x v="3"/>
    <x v="1"/>
    <n v="0.9"/>
    <n v="140"/>
    <n v="97.9"/>
    <n v="17"/>
    <n v="950"/>
    <n v="3320"/>
    <n v="6200"/>
    <n v="136000"/>
    <n v="0.16"/>
    <n v="7450000"/>
    <n v="9200000"/>
    <n v="5"/>
    <n v="20584000"/>
  </r>
  <r>
    <s v="SYS-053"/>
    <x v="0"/>
    <s v="ISR"/>
    <s v="AeroTech"/>
    <x v="52"/>
    <x v="3"/>
    <x v="0"/>
    <x v="0"/>
    <n v="0.94"/>
    <n v="185"/>
    <n v="98.8"/>
    <n v="11"/>
    <n v="445"/>
    <n v="1850"/>
    <n v="2300"/>
    <n v="87000"/>
    <n v="0.18"/>
    <n v="4280000"/>
    <n v="2900000"/>
    <n v="4"/>
    <n v="4255000"/>
  </r>
  <r>
    <s v="SYS-054"/>
    <x v="3"/>
    <s v="Combat"/>
    <s v="MechaDyn"/>
    <x v="53"/>
    <x v="0"/>
    <x v="4"/>
    <x v="0"/>
    <n v="0.87"/>
    <n v="255"/>
    <n v="97"/>
    <n v="21"/>
    <n v="670"/>
    <n v="1780"/>
    <n v="2050"/>
    <n v="94000"/>
    <n v="0.17"/>
    <n v="3850000"/>
    <n v="2650000"/>
    <n v="3"/>
    <n v="3649000"/>
  </r>
  <r>
    <s v="SYS-055"/>
    <x v="1"/>
    <s v="Navigation"/>
    <s v="OrbitalSys"/>
    <x v="54"/>
    <x v="2"/>
    <x v="5"/>
    <x v="2"/>
    <n v="0.98"/>
    <n v="81"/>
    <n v="99.9"/>
    <n v="7"/>
    <n v="1610"/>
    <n v="4820"/>
    <n v="8350"/>
    <n v="168000"/>
    <n v="0.14000000000000001"/>
    <n v="9600000"/>
    <n v="13100000"/>
    <n v="5"/>
    <n v="40247000"/>
  </r>
  <r>
    <s v="SYS-056"/>
    <x v="2"/>
    <s v="Defense"/>
    <s v="DefenCore"/>
    <x v="55"/>
    <x v="1"/>
    <x v="3"/>
    <x v="1"/>
    <n v="0.89"/>
    <n v="150"/>
    <n v="97.6"/>
    <n v="19"/>
    <n v="960"/>
    <n v="3360"/>
    <n v="6300"/>
    <n v="142000"/>
    <n v="0.16"/>
    <n v="7550000"/>
    <n v="9300000"/>
    <n v="5"/>
    <n v="21168000"/>
  </r>
  <r>
    <s v="SYS-057"/>
    <x v="0"/>
    <s v="Combat"/>
    <s v="SkyForge"/>
    <x v="56"/>
    <x v="0"/>
    <x v="1"/>
    <x v="1"/>
    <n v="0.86"/>
    <n v="245"/>
    <n v="96.3"/>
    <n v="22"/>
    <n v="535"/>
    <n v="2190"/>
    <n v="2500"/>
    <n v="128000"/>
    <n v="0.18"/>
    <n v="5200000"/>
    <n v="3680000"/>
    <n v="5"/>
    <n v="5475000"/>
  </r>
  <r>
    <s v="SYS-058"/>
    <x v="3"/>
    <s v="Logistics"/>
    <s v="MechaDyn"/>
    <x v="57"/>
    <x v="3"/>
    <x v="6"/>
    <x v="2"/>
    <n v="0.92"/>
    <n v="200"/>
    <n v="99"/>
    <n v="14"/>
    <n v="610"/>
    <n v="1720"/>
    <n v="2150"/>
    <n v="88000"/>
    <n v="0.17"/>
    <n v="3900000"/>
    <n v="2500000"/>
    <n v="3"/>
    <n v="3698000"/>
  </r>
  <r>
    <s v="SYS-059"/>
    <x v="1"/>
    <s v="ISR"/>
    <s v="OrbitalSys"/>
    <x v="58"/>
    <x v="2"/>
    <x v="2"/>
    <x v="0"/>
    <n v="0.96"/>
    <n v="98"/>
    <n v="99.6"/>
    <n v="9"/>
    <n v="1550"/>
    <n v="4620"/>
    <n v="8200"/>
    <n v="153000"/>
    <n v="0.14000000000000001"/>
    <n v="9150000"/>
    <n v="12200000"/>
    <n v="5"/>
    <n v="37884000"/>
  </r>
  <r>
    <s v="SYS-060"/>
    <x v="2"/>
    <s v="Defense"/>
    <s v="DefenCore"/>
    <x v="59"/>
    <x v="0"/>
    <x v="3"/>
    <x v="0"/>
    <n v="0.91"/>
    <n v="130"/>
    <n v="98.3"/>
    <n v="15"/>
    <n v="910"/>
    <n v="3210"/>
    <n v="6100"/>
    <n v="138000"/>
    <n v="0.16"/>
    <n v="7350000"/>
    <n v="9120000"/>
    <n v="4"/>
    <n v="19581000"/>
  </r>
  <r>
    <s v="SYS-061"/>
    <x v="0"/>
    <s v="ISR"/>
    <s v="AeroTech"/>
    <x v="60"/>
    <x v="1"/>
    <x v="0"/>
    <x v="1"/>
    <n v="0.92"/>
    <n v="180"/>
    <n v="98.9"/>
    <n v="13"/>
    <n v="430"/>
    <n v="1890"/>
    <n v="2290"/>
    <n v="90000"/>
    <n v="0.18"/>
    <n v="4300000"/>
    <n v="2820000"/>
    <n v="4"/>
    <n v="4328100"/>
  </r>
  <r>
    <s v="SYS-062"/>
    <x v="3"/>
    <s v="Combat"/>
    <s v="MechaDyn"/>
    <x v="61"/>
    <x v="3"/>
    <x v="4"/>
    <x v="1"/>
    <n v="0.85"/>
    <n v="265"/>
    <n v="96.1"/>
    <n v="24"/>
    <n v="685"/>
    <n v="1810"/>
    <n v="2650"/>
    <n v="139000"/>
    <n v="0.18"/>
    <n v="5480000"/>
    <n v="3850000"/>
    <n v="5"/>
    <n v="4796500"/>
  </r>
  <r>
    <s v="SYS-063"/>
    <x v="1"/>
    <s v="Navigation"/>
    <s v="OrbitalSys"/>
    <x v="62"/>
    <x v="0"/>
    <x v="5"/>
    <x v="2"/>
    <n v="0.97"/>
    <n v="85"/>
    <n v="99.7"/>
    <n v="8"/>
    <n v="1630"/>
    <n v="4890"/>
    <n v="8450"/>
    <n v="170000"/>
    <n v="0.14000000000000001"/>
    <n v="9650000"/>
    <n v="12900000"/>
    <n v="5"/>
    <n v="41320500"/>
  </r>
  <r>
    <s v="SYS-064"/>
    <x v="2"/>
    <s v="Defense"/>
    <s v="DefenCore"/>
    <x v="63"/>
    <x v="2"/>
    <x v="3"/>
    <x v="1"/>
    <n v="0.9"/>
    <n v="140"/>
    <n v="98"/>
    <n v="18"/>
    <n v="940"/>
    <n v="3290"/>
    <n v="6200"/>
    <n v="135000"/>
    <n v="0.16"/>
    <n v="7450000"/>
    <n v="9250000"/>
    <n v="5"/>
    <n v="20398000"/>
  </r>
  <r>
    <s v="SYS-065"/>
    <x v="0"/>
    <s v="Combat"/>
    <s v="SkyForge"/>
    <x v="64"/>
    <x v="1"/>
    <x v="1"/>
    <x v="1"/>
    <n v="0.87"/>
    <n v="250"/>
    <n v="96.5"/>
    <n v="21"/>
    <n v="520"/>
    <n v="2230"/>
    <n v="2550"/>
    <n v="127000"/>
    <n v="0.18"/>
    <n v="5300000"/>
    <n v="3720000"/>
    <n v="5"/>
    <n v="5686500"/>
  </r>
  <r>
    <s v="SYS-066"/>
    <x v="3"/>
    <s v="Logistics"/>
    <s v="MechaDyn"/>
    <x v="65"/>
    <x v="0"/>
    <x v="6"/>
    <x v="2"/>
    <n v="0.93"/>
    <n v="195"/>
    <n v="98.9"/>
    <n v="13"/>
    <n v="625"/>
    <n v="1730"/>
    <n v="2250"/>
    <n v="87000"/>
    <n v="0.17"/>
    <n v="3950000"/>
    <n v="2600000"/>
    <n v="3"/>
    <n v="3892500"/>
  </r>
  <r>
    <s v="SYS-067"/>
    <x v="1"/>
    <s v="ISR"/>
    <s v="OrbitalSys"/>
    <x v="66"/>
    <x v="3"/>
    <x v="2"/>
    <x v="0"/>
    <n v="0.95"/>
    <n v="90"/>
    <n v="99.5"/>
    <n v="10"/>
    <n v="1540"/>
    <n v="4600"/>
    <n v="8150"/>
    <n v="150000"/>
    <n v="0.14000000000000001"/>
    <n v="9000000"/>
    <n v="12100000"/>
    <n v="5"/>
    <n v="37490000"/>
  </r>
  <r>
    <s v="SYS-068"/>
    <x v="2"/>
    <s v="Defense"/>
    <s v="DefenCore"/>
    <x v="67"/>
    <x v="1"/>
    <x v="3"/>
    <x v="1"/>
    <n v="0.88"/>
    <n v="150"/>
    <n v="97.8"/>
    <n v="19"/>
    <n v="950"/>
    <n v="3330"/>
    <n v="6150"/>
    <n v="137000"/>
    <n v="0.16"/>
    <n v="7450000"/>
    <n v="9170000"/>
    <n v="4"/>
    <n v="20479500"/>
  </r>
  <r>
    <s v="SYS-069"/>
    <x v="0"/>
    <s v="ISR"/>
    <s v="AeroTech"/>
    <x v="68"/>
    <x v="2"/>
    <x v="0"/>
    <x v="0"/>
    <n v="0.93"/>
    <n v="170"/>
    <n v="99.2"/>
    <n v="12"/>
    <n v="420"/>
    <n v="1820"/>
    <n v="2300"/>
    <n v="88000"/>
    <n v="0.18"/>
    <n v="4200000"/>
    <n v="2800000"/>
    <n v="4"/>
    <n v="4186000"/>
  </r>
  <r>
    <s v="SYS-070"/>
    <x v="3"/>
    <s v="Combat"/>
    <s v="MechaDyn"/>
    <x v="69"/>
    <x v="3"/>
    <x v="4"/>
    <x v="0"/>
    <n v="0.86"/>
    <n v="260"/>
    <n v="97.2"/>
    <n v="23"/>
    <n v="675"/>
    <n v="1770"/>
    <n v="2450"/>
    <n v="132000"/>
    <n v="0.17"/>
    <n v="4950000"/>
    <n v="3500000"/>
    <n v="4"/>
    <n v="4336500"/>
  </r>
  <r>
    <s v="SYS-071"/>
    <x v="1"/>
    <s v="Navigation"/>
    <s v="OrbitalSys"/>
    <x v="70"/>
    <x v="0"/>
    <x v="5"/>
    <x v="2"/>
    <n v="0.98"/>
    <n v="83"/>
    <n v="99.8"/>
    <n v="7"/>
    <n v="1640"/>
    <n v="4850"/>
    <n v="8300"/>
    <n v="165000"/>
    <n v="0.14000000000000001"/>
    <n v="9500000"/>
    <n v="12700000"/>
    <n v="5"/>
    <n v="40255000"/>
  </r>
  <r>
    <s v="SYS-072"/>
    <x v="2"/>
    <s v="Defense"/>
    <s v="DefenCore"/>
    <x v="71"/>
    <x v="2"/>
    <x v="3"/>
    <x v="0"/>
    <n v="0.91"/>
    <n v="120"/>
    <n v="98.4"/>
    <n v="16"/>
    <n v="920"/>
    <n v="3240"/>
    <n v="6150"/>
    <n v="136000"/>
    <n v="0.16"/>
    <n v="7400000"/>
    <n v="9100000"/>
    <n v="4"/>
    <n v="19926000"/>
  </r>
  <r>
    <s v="SYS-073"/>
    <x v="0"/>
    <s v="Combat"/>
    <s v="SkyForge"/>
    <x v="72"/>
    <x v="3"/>
    <x v="1"/>
    <x v="1"/>
    <n v="0.87"/>
    <n v="245"/>
    <n v="96.7"/>
    <n v="20"/>
    <n v="530"/>
    <n v="2170"/>
    <n v="2480"/>
    <n v="125000"/>
    <n v="0.18"/>
    <n v="5150000"/>
    <n v="3580000"/>
    <n v="5"/>
    <n v="5381600"/>
  </r>
  <r>
    <s v="SYS-074"/>
    <x v="3"/>
    <s v="Logistics"/>
    <s v="MechaDyn"/>
    <x v="73"/>
    <x v="1"/>
    <x v="6"/>
    <x v="2"/>
    <n v="0.92"/>
    <n v="205"/>
    <n v="98.8"/>
    <n v="14"/>
    <n v="610"/>
    <n v="1700"/>
    <n v="2120"/>
    <n v="87000"/>
    <n v="0.17"/>
    <n v="3700000"/>
    <n v="2550000"/>
    <n v="3"/>
    <n v="3604000"/>
  </r>
  <r>
    <s v="SYS-075"/>
    <x v="1"/>
    <s v="ISR"/>
    <s v="OrbitalSys"/>
    <x v="74"/>
    <x v="0"/>
    <x v="2"/>
    <x v="0"/>
    <n v="0.95"/>
    <n v="92"/>
    <n v="99.5"/>
    <n v="9"/>
    <n v="1560"/>
    <n v="4660"/>
    <n v="8250"/>
    <n v="155000"/>
    <n v="0.14000000000000001"/>
    <n v="9250000"/>
    <n v="12500000"/>
    <n v="5"/>
    <n v="38445000"/>
  </r>
  <r>
    <s v="SYS-076"/>
    <x v="2"/>
    <s v="Defense"/>
    <s v="DefenCore"/>
    <x v="75"/>
    <x v="3"/>
    <x v="3"/>
    <x v="1"/>
    <n v="0.89"/>
    <n v="145"/>
    <n v="97.9"/>
    <n v="18"/>
    <n v="935"/>
    <n v="3310"/>
    <n v="6100"/>
    <n v="135000"/>
    <n v="0.16"/>
    <n v="7400000"/>
    <n v="9150000"/>
    <n v="4"/>
    <n v="20191000"/>
  </r>
  <r>
    <s v="SYS-077"/>
    <x v="0"/>
    <s v="ISR"/>
    <s v="AeroTech"/>
    <x v="76"/>
    <x v="0"/>
    <x v="0"/>
    <x v="0"/>
    <n v="0.94"/>
    <n v="180"/>
    <n v="98.9"/>
    <n v="11"/>
    <n v="440"/>
    <n v="1870"/>
    <n v="2300"/>
    <n v="89000"/>
    <n v="0.18"/>
    <n v="4280000"/>
    <n v="2900000"/>
    <n v="4"/>
    <n v="4301000"/>
  </r>
  <r>
    <s v="SYS-078"/>
    <x v="3"/>
    <s v="Combat"/>
    <s v="MechaDyn"/>
    <x v="77"/>
    <x v="2"/>
    <x v="4"/>
    <x v="0"/>
    <n v="0.85"/>
    <n v="270"/>
    <n v="96.8"/>
    <n v="23"/>
    <n v="690"/>
    <n v="1790"/>
    <n v="2000"/>
    <n v="94000"/>
    <n v="0.17"/>
    <n v="3750000"/>
    <n v="2600000"/>
    <n v="3"/>
    <n v="3580000"/>
  </r>
  <r>
    <s v="SYS-079"/>
    <x v="1"/>
    <s v="Navigation"/>
    <s v="OrbitalSys"/>
    <x v="78"/>
    <x v="1"/>
    <x v="5"/>
    <x v="2"/>
    <n v="0.97"/>
    <n v="86"/>
    <n v="99.8"/>
    <n v="8"/>
    <n v="1650"/>
    <n v="4920"/>
    <n v="8450"/>
    <n v="170000"/>
    <n v="0.14000000000000001"/>
    <n v="9600000"/>
    <n v="12800000"/>
    <n v="5"/>
    <n v="41574000"/>
  </r>
  <r>
    <s v="SYS-080"/>
    <x v="2"/>
    <s v="Defense"/>
    <s v="DefenCore"/>
    <x v="79"/>
    <x v="0"/>
    <x v="3"/>
    <x v="1"/>
    <n v="0.9"/>
    <n v="135"/>
    <n v="98.2"/>
    <n v="17"/>
    <n v="915"/>
    <n v="3260"/>
    <n v="6250"/>
    <n v="138000"/>
    <n v="0.16"/>
    <n v="7500000"/>
    <n v="9250000"/>
    <n v="4"/>
    <n v="20375000"/>
  </r>
  <r>
    <s v="SYS-081"/>
    <x v="0"/>
    <s v="Combat"/>
    <s v="SkyForge"/>
    <x v="80"/>
    <x v="2"/>
    <x v="1"/>
    <x v="1"/>
    <n v="0.88"/>
    <n v="250"/>
    <n v="96.6"/>
    <n v="22"/>
    <n v="525"/>
    <n v="2210"/>
    <n v="2550"/>
    <n v="128000"/>
    <n v="0.18"/>
    <n v="5250000"/>
    <n v="3700000"/>
    <n v="5"/>
    <n v="5635500"/>
  </r>
  <r>
    <s v="SYS-082"/>
    <x v="3"/>
    <s v="Logistics"/>
    <s v="MechaDyn"/>
    <x v="81"/>
    <x v="3"/>
    <x v="6"/>
    <x v="2"/>
    <n v="0.93"/>
    <n v="190"/>
    <n v="99.1"/>
    <n v="13"/>
    <n v="615"/>
    <n v="1710"/>
    <n v="2200"/>
    <n v="88000"/>
    <n v="0.17"/>
    <n v="3920000"/>
    <n v="2580000"/>
    <n v="3"/>
    <n v="3762000"/>
  </r>
  <r>
    <s v="SYS-083"/>
    <x v="1"/>
    <s v="ISR"/>
    <s v="OrbitalSys"/>
    <x v="82"/>
    <x v="1"/>
    <x v="2"/>
    <x v="0"/>
    <n v="0.96"/>
    <n v="95"/>
    <n v="99.6"/>
    <n v="10"/>
    <n v="1570"/>
    <n v="4680"/>
    <n v="8200"/>
    <n v="155000"/>
    <n v="0.14000000000000001"/>
    <n v="9350000"/>
    <n v="12400000"/>
    <n v="5"/>
    <n v="38376000"/>
  </r>
  <r>
    <s v="SYS-084"/>
    <x v="2"/>
    <s v="Defense"/>
    <s v="DefenCore"/>
    <x v="83"/>
    <x v="0"/>
    <x v="3"/>
    <x v="0"/>
    <n v="0.91"/>
    <n v="120"/>
    <n v="98.5"/>
    <n v="15"/>
    <n v="905"/>
    <n v="3230"/>
    <n v="6200"/>
    <n v="134000"/>
    <n v="0.16"/>
    <n v="7400000"/>
    <n v="9100000"/>
    <n v="4"/>
    <n v="20026000"/>
  </r>
  <r>
    <s v="SYS-085"/>
    <x v="0"/>
    <s v="ISR"/>
    <s v="AeroTech"/>
    <x v="84"/>
    <x v="3"/>
    <x v="0"/>
    <x v="0"/>
    <n v="0.93"/>
    <n v="175"/>
    <n v="99"/>
    <n v="11"/>
    <n v="425"/>
    <n v="1850"/>
    <n v="2250"/>
    <n v="87000"/>
    <n v="0.18"/>
    <n v="4200000"/>
    <n v="2810000"/>
    <n v="4"/>
    <n v="4162500"/>
  </r>
  <r>
    <s v="SYS-086"/>
    <x v="3"/>
    <s v="Combat"/>
    <s v="MechaDyn"/>
    <x v="85"/>
    <x v="1"/>
    <x v="4"/>
    <x v="1"/>
    <n v="0.84"/>
    <n v="275"/>
    <n v="95.6"/>
    <n v="25"/>
    <n v="710"/>
    <n v="1870"/>
    <n v="2600"/>
    <n v="138000"/>
    <n v="0.18"/>
    <n v="5400000"/>
    <n v="3850000"/>
    <n v="5"/>
    <n v="4862000"/>
  </r>
  <r>
    <s v="SYS-087"/>
    <x v="1"/>
    <s v="Navigation"/>
    <s v="OrbitalSys"/>
    <x v="86"/>
    <x v="2"/>
    <x v="5"/>
    <x v="2"/>
    <n v="0.98"/>
    <n v="82"/>
    <n v="99.9"/>
    <n v="6"/>
    <n v="1660"/>
    <n v="4950"/>
    <n v="8350"/>
    <n v="168000"/>
    <n v="0.14000000000000001"/>
    <n v="9600000"/>
    <n v="13000000"/>
    <n v="5"/>
    <n v="41332500"/>
  </r>
  <r>
    <s v="SYS-088"/>
    <x v="2"/>
    <s v="Defense"/>
    <s v="DefenCore"/>
    <x v="87"/>
    <x v="0"/>
    <x v="3"/>
    <x v="0"/>
    <n v="0.92"/>
    <n v="125"/>
    <n v="98.4"/>
    <n v="16"/>
    <n v="928"/>
    <n v="3290"/>
    <n v="6250"/>
    <n v="137000"/>
    <n v="0.16"/>
    <n v="7450000"/>
    <n v="9200000"/>
    <n v="4"/>
    <n v="20562500"/>
  </r>
  <r>
    <s v="SYS-089"/>
    <x v="0"/>
    <s v="Combat"/>
    <s v="SkyForge"/>
    <x v="88"/>
    <x v="3"/>
    <x v="1"/>
    <x v="1"/>
    <n v="0.86"/>
    <n v="260"/>
    <n v="96.2"/>
    <n v="23"/>
    <n v="540"/>
    <n v="2240"/>
    <n v="2500"/>
    <n v="126000"/>
    <n v="0.18"/>
    <n v="5200000"/>
    <n v="3650000"/>
    <n v="5"/>
    <n v="5600000"/>
  </r>
  <r>
    <s v="SYS-090"/>
    <x v="3"/>
    <s v="Logistics"/>
    <s v="MechaDyn"/>
    <x v="89"/>
    <x v="0"/>
    <x v="6"/>
    <x v="2"/>
    <n v="0.92"/>
    <n v="200"/>
    <n v="98.9"/>
    <n v="14"/>
    <n v="605"/>
    <n v="1740"/>
    <n v="2150"/>
    <n v="87000"/>
    <n v="0.17"/>
    <n v="3750000"/>
    <n v="2480000"/>
    <n v="3"/>
    <n v="3741000"/>
  </r>
  <r>
    <s v="SYS-091"/>
    <x v="1"/>
    <s v="ISR"/>
    <s v="OrbitalSys"/>
    <x v="90"/>
    <x v="2"/>
    <x v="2"/>
    <x v="0"/>
    <n v="0.95"/>
    <n v="100"/>
    <n v="99.5"/>
    <n v="10"/>
    <n v="1555"/>
    <n v="4630"/>
    <n v="8100"/>
    <n v="150000"/>
    <n v="0.14000000000000001"/>
    <n v="9050000"/>
    <n v="12200000"/>
    <n v="5"/>
    <n v="37503000"/>
  </r>
  <r>
    <s v="SYS-092"/>
    <x v="2"/>
    <s v="Defense"/>
    <s v="DefenCore"/>
    <x v="91"/>
    <x v="1"/>
    <x v="3"/>
    <x v="1"/>
    <n v="0.9"/>
    <n v="145"/>
    <n v="97.7"/>
    <n v="18"/>
    <n v="945"/>
    <n v="3340"/>
    <n v="6200"/>
    <n v="135000"/>
    <n v="0.16"/>
    <n v="7400000"/>
    <n v="9100000"/>
    <n v="4"/>
    <n v="20708000"/>
  </r>
  <r>
    <s v="SYS-093"/>
    <x v="0"/>
    <s v="ISR"/>
    <s v="AeroTech"/>
    <x v="92"/>
    <x v="0"/>
    <x v="0"/>
    <x v="2"/>
    <n v="0.94"/>
    <n v="170"/>
    <n v="99.3"/>
    <n v="11"/>
    <n v="420"/>
    <n v="1840"/>
    <n v="2300"/>
    <n v="88000"/>
    <n v="0.18"/>
    <n v="4250000"/>
    <n v="2800000"/>
    <n v="4"/>
    <n v="4232000"/>
  </r>
  <r>
    <s v="SYS-094"/>
    <x v="3"/>
    <s v="Combat"/>
    <s v="MechaDyn"/>
    <x v="93"/>
    <x v="3"/>
    <x v="4"/>
    <x v="0"/>
    <n v="0.87"/>
    <n v="255"/>
    <n v="97"/>
    <n v="22"/>
    <n v="665"/>
    <n v="1800"/>
    <n v="2050"/>
    <n v="93000"/>
    <n v="0.17"/>
    <n v="3850000"/>
    <n v="2550000"/>
    <n v="3"/>
    <n v="3690000"/>
  </r>
  <r>
    <s v="SYS-095"/>
    <x v="1"/>
    <s v="Navigation"/>
    <s v="OrbitalSys"/>
    <x v="94"/>
    <x v="1"/>
    <x v="5"/>
    <x v="2"/>
    <n v="0.97"/>
    <n v="88"/>
    <n v="99.8"/>
    <n v="7"/>
    <n v="1630"/>
    <n v="4880"/>
    <n v="8250"/>
    <n v="160000"/>
    <n v="0.14000000000000001"/>
    <n v="9400000"/>
    <n v="12500000"/>
    <n v="5"/>
    <n v="40260000"/>
  </r>
  <r>
    <s v="SYS-096"/>
    <x v="2"/>
    <s v="Defense"/>
    <s v="DefenCore"/>
    <x v="95"/>
    <x v="2"/>
    <x v="3"/>
    <x v="0"/>
    <n v="0.91"/>
    <n v="130"/>
    <n v="98.3"/>
    <n v="15"/>
    <n v="930"/>
    <n v="3280"/>
    <n v="6150"/>
    <n v="140000"/>
    <n v="0.16"/>
    <n v="7500000"/>
    <n v="9300000"/>
    <n v="4"/>
    <n v="20172000"/>
  </r>
  <r>
    <s v="SYS-097"/>
    <x v="0"/>
    <s v="Combat"/>
    <s v="SkyForge"/>
    <x v="96"/>
    <x v="0"/>
    <x v="1"/>
    <x v="1"/>
    <n v="0.87"/>
    <n v="245"/>
    <n v="96.7"/>
    <n v="21"/>
    <n v="520"/>
    <n v="2200"/>
    <n v="2450"/>
    <n v="129000"/>
    <n v="0.18"/>
    <n v="5320000"/>
    <n v="3720000"/>
    <n v="5"/>
    <n v="5390000"/>
  </r>
  <r>
    <s v="SYS-098"/>
    <x v="3"/>
    <s v="Logistics"/>
    <s v="MechaDyn"/>
    <x v="97"/>
    <x v="1"/>
    <x v="6"/>
    <x v="2"/>
    <n v="0.93"/>
    <n v="190"/>
    <n v="99.1"/>
    <n v="13"/>
    <n v="620"/>
    <n v="1720"/>
    <n v="2100"/>
    <n v="87000"/>
    <n v="0.17"/>
    <n v="3800000"/>
    <n v="2550000"/>
    <n v="3"/>
    <n v="3612000"/>
  </r>
  <r>
    <s v="SYS-099"/>
    <x v="1"/>
    <s v="ISR"/>
    <s v="OrbitalSys"/>
    <x v="98"/>
    <x v="3"/>
    <x v="2"/>
    <x v="0"/>
    <n v="0.96"/>
    <n v="95"/>
    <n v="99.6"/>
    <n v="9"/>
    <n v="1550"/>
    <n v="4650"/>
    <n v="8200"/>
    <n v="150000"/>
    <n v="0.14000000000000001"/>
    <n v="9150000"/>
    <n v="12100000"/>
    <n v="5"/>
    <n v="38130000"/>
  </r>
  <r>
    <s v="SYS-100"/>
    <x v="2"/>
    <s v="Defense"/>
    <s v="DefenCore"/>
    <x v="99"/>
    <x v="2"/>
    <x v="3"/>
    <x v="1"/>
    <n v="0.9"/>
    <n v="140"/>
    <n v="97.8"/>
    <n v="17"/>
    <n v="940"/>
    <n v="3320"/>
    <n v="6300"/>
    <n v="138000"/>
    <n v="0.16"/>
    <n v="7500000"/>
    <n v="9250000"/>
    <n v="4"/>
    <n v="2091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CAA65-D16C-47BA-AC2C-1D59A8889AA2}" name="PivotTable6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P14:Q19" firstHeaderRow="1" firstDataRow="1" firstDataCol="1"/>
  <pivotFields count="24">
    <pivotField showAll="0"/>
    <pivotField axis="axisRow"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showAll="0">
      <items count="8">
        <item x="3"/>
        <item x="5"/>
        <item x="4"/>
        <item x="1"/>
        <item h="1" x="6"/>
        <item x="0"/>
        <item x="2"/>
        <item t="default"/>
      </items>
    </pivotField>
    <pivotField showAll="0"/>
    <pivotField showAll="0"/>
    <pivotField showAll="0"/>
    <pivotField showAll="0"/>
    <pivotField showAll="0"/>
    <pivotField dataField="1" showAll="0"/>
    <pivotField showAll="0"/>
    <pivotField showAll="0"/>
    <pivotField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Energy_Consumption_kWh" fld="12" baseField="0" baseItem="0"/>
  </dataFields>
  <chartFormats count="1">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720BC0-03AB-4500-AAA9-BEF28723F7C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40:B53" firstHeaderRow="1" firstDataRow="1" firstDataCol="1"/>
  <pivotFields count="24">
    <pivotField showAll="0"/>
    <pivotField axis="axisRow"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showAll="0">
      <items count="8">
        <item x="3"/>
        <item x="5"/>
        <item x="4"/>
        <item x="1"/>
        <item h="1" x="6"/>
        <item x="0"/>
        <item x="2"/>
        <item t="default"/>
      </items>
    </pivotField>
    <pivotField showAll="0"/>
    <pivotField showAll="0"/>
    <pivotField showAll="0"/>
    <pivotField showAll="0"/>
    <pivotField showAll="0"/>
    <pivotField showAll="0"/>
    <pivotField showAll="0"/>
    <pivotField showAll="0"/>
    <pivotField numFmtId="164" showAll="0"/>
    <pivotField showAll="0"/>
    <pivotField dataField="1" numFmtId="164" showAll="0"/>
    <pivotField numFmtId="16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
    <field x="23"/>
  </rowFields>
  <rowItems count="13">
    <i>
      <x/>
    </i>
    <i r="1">
      <x v="1"/>
    </i>
    <i r="1">
      <x v="2"/>
    </i>
    <i>
      <x v="1"/>
    </i>
    <i r="1">
      <x v="1"/>
    </i>
    <i r="1">
      <x v="2"/>
    </i>
    <i>
      <x v="2"/>
    </i>
    <i r="1">
      <x v="1"/>
    </i>
    <i r="1">
      <x v="2"/>
    </i>
    <i>
      <x v="3"/>
    </i>
    <i r="1">
      <x v="1"/>
    </i>
    <i r="1">
      <x v="2"/>
    </i>
    <i t="grand">
      <x/>
    </i>
  </rowItems>
  <colItems count="1">
    <i/>
  </colItems>
  <dataFields count="1">
    <dataField name="Sum of Annual_Budget_Allocation_USD" fld="17" baseField="0" baseItem="0" numFmtId="164"/>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E0AC99-AB30-4AE0-919E-E151138ABD3E}" name="PivotTable7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1:M7" firstHeaderRow="1" firstDataRow="2" firstDataCol="1"/>
  <pivotFields count="24">
    <pivotField showAll="0"/>
    <pivotField axis="axisRow" dataField="1"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showAll="0">
      <items count="8">
        <item x="3"/>
        <item x="5"/>
        <item x="4"/>
        <item x="1"/>
        <item h="1" x="6"/>
        <item x="0"/>
        <item x="2"/>
        <item t="default"/>
      </items>
    </pivotField>
    <pivotField axis="axisCol" showAll="0">
      <items count="4">
        <item x="1"/>
        <item x="2"/>
        <item x="0"/>
        <item t="default"/>
      </items>
    </pivotField>
    <pivotField showAll="0"/>
    <pivotField showAll="0"/>
    <pivotField showAll="0"/>
    <pivotField showAll="0"/>
    <pivotField showAll="0"/>
    <pivotField showAll="0"/>
    <pivotField showAll="0"/>
    <pivotField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Fields count="1">
    <field x="7"/>
  </colFields>
  <colItems count="4">
    <i>
      <x/>
    </i>
    <i>
      <x v="1"/>
    </i>
    <i>
      <x v="2"/>
    </i>
    <i t="grand">
      <x/>
    </i>
  </colItems>
  <dataFields count="1">
    <dataField name="Count of Platform" fld="1" subtotal="count" baseField="0" baseItem="0"/>
  </dataField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E9BE87-3CC6-4461-B35D-17B5D2E7D11D}" name="PivotTable6"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19:B24" firstHeaderRow="1" firstDataRow="1" firstDataCol="1"/>
  <pivotFields count="24">
    <pivotField showAll="0"/>
    <pivotField axis="axisRow"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showAll="0">
      <items count="8">
        <item x="3"/>
        <item x="5"/>
        <item x="4"/>
        <item x="1"/>
        <item h="1" x="6"/>
        <item x="0"/>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Average of Annual_Maintenance_Cost_USD" fld="15" subtotal="average" baseField="1" baseItem="0" numFmtId="164"/>
  </dataFields>
  <chartFormats count="3">
    <chartFormat chart="25" format="0"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29" format="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C7D2B9-44DE-420C-A8ED-C429BC126F73}" name="Main KPI Table"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F7" firstHeaderRow="1" firstDataRow="2" firstDataCol="1"/>
  <pivotFields count="24">
    <pivotField showAll="0"/>
    <pivotField axis="axisCol"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3"/>
        <item x="0"/>
        <item x="1"/>
        <item x="2"/>
        <item t="default"/>
      </items>
    </pivotField>
    <pivotField showAll="0">
      <items count="8">
        <item x="3"/>
        <item x="5"/>
        <item x="4"/>
        <item x="1"/>
        <item h="1" x="6"/>
        <item x="0"/>
        <item x="2"/>
        <item t="default"/>
      </items>
    </pivotField>
    <pivotField showAll="0"/>
    <pivotField dataField="1" showAll="0"/>
    <pivotField showAll="0"/>
    <pivotField showAll="0"/>
    <pivotField showAll="0"/>
    <pivotField showAll="0"/>
    <pivotField showAll="0"/>
    <pivotField showAll="0"/>
    <pivotField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Fields count="1">
    <field x="1"/>
  </colFields>
  <colItems count="5">
    <i>
      <x/>
    </i>
    <i>
      <x v="1"/>
    </i>
    <i>
      <x v="2"/>
    </i>
    <i>
      <x v="3"/>
    </i>
    <i t="grand">
      <x/>
    </i>
  </colItems>
  <dataFields count="1">
    <dataField name="Average of Success_Rate" fld="8" subtotal="average" baseField="1" baseItem="0"/>
  </dataFields>
  <chartFormats count="5">
    <chartFormat chart="14" format="8" series="1">
      <pivotArea type="data" outline="0" fieldPosition="0">
        <references count="2">
          <reference field="4294967294" count="1" selected="0">
            <x v="0"/>
          </reference>
          <reference field="1" count="1" selected="0">
            <x v="0"/>
          </reference>
        </references>
      </pivotArea>
    </chartFormat>
    <chartFormat chart="14" format="9" series="1">
      <pivotArea type="data" outline="0" fieldPosition="0">
        <references count="2">
          <reference field="4294967294" count="1" selected="0">
            <x v="0"/>
          </reference>
          <reference field="1" count="1" selected="0">
            <x v="1"/>
          </reference>
        </references>
      </pivotArea>
    </chartFormat>
    <chartFormat chart="14" format="10" series="1">
      <pivotArea type="data" outline="0" fieldPosition="0">
        <references count="2">
          <reference field="4294967294" count="1" selected="0">
            <x v="0"/>
          </reference>
          <reference field="1" count="1" selected="0">
            <x v="2"/>
          </reference>
        </references>
      </pivotArea>
    </chartFormat>
    <chartFormat chart="14" format="11" series="1">
      <pivotArea type="data" outline="0" fieldPosition="0">
        <references count="2">
          <reference field="4294967294" count="1" selected="0">
            <x v="0"/>
          </reference>
          <reference field="1" count="1" selected="0">
            <x v="3"/>
          </reference>
        </references>
      </pivotArea>
    </chartFormat>
    <chartFormat chart="1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F9366E-9504-4C4F-90E0-0ABD540C862F}" name="PivotTable6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F26:K35" firstHeaderRow="1" firstDataRow="2" firstDataCol="1"/>
  <pivotFields count="24">
    <pivotField showAll="0"/>
    <pivotField axis="axisCol" showAll="0">
      <items count="5">
        <item x="0"/>
        <item x="2"/>
        <item x="1"/>
        <item x="3"/>
        <item t="default"/>
      </items>
    </pivotField>
    <pivotField showAll="0"/>
    <pivotField showAll="0"/>
    <pivotField axis="axisRow"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dataField="1" showAll="0">
      <items count="8">
        <item x="3"/>
        <item x="5"/>
        <item x="4"/>
        <item x="1"/>
        <item h="1" x="6"/>
        <item x="0"/>
        <item x="2"/>
        <item t="default"/>
      </items>
    </pivotField>
    <pivotField showAll="0"/>
    <pivotField showAll="0"/>
    <pivotField showAll="0"/>
    <pivotField showAll="0"/>
    <pivotField showAll="0"/>
    <pivotField showAll="0"/>
    <pivotField showAll="0"/>
    <pivotField showAll="0"/>
    <pivotField numFmtId="164" showAll="0"/>
    <pivotField showAll="0"/>
    <pivotField numFmtId="164" showAll="0"/>
    <pivotField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4">
    <field x="23"/>
    <field x="22"/>
    <field x="21"/>
    <field x="4"/>
  </rowFields>
  <rowItems count="8">
    <i>
      <x v="1"/>
    </i>
    <i r="1">
      <x v="1"/>
    </i>
    <i r="1">
      <x v="2"/>
    </i>
    <i r="1">
      <x v="3"/>
    </i>
    <i r="1">
      <x v="4"/>
    </i>
    <i>
      <x v="2"/>
    </i>
    <i r="1">
      <x v="1"/>
    </i>
    <i t="grand">
      <x/>
    </i>
  </rowItems>
  <colFields count="1">
    <field x="1"/>
  </colFields>
  <colItems count="5">
    <i>
      <x/>
    </i>
    <i>
      <x v="1"/>
    </i>
    <i>
      <x v="2"/>
    </i>
    <i>
      <x v="3"/>
    </i>
    <i t="grand">
      <x/>
    </i>
  </colItems>
  <dataFields count="1">
    <dataField name="Count of Mission_Type" fld="6" subtotal="count" baseField="0" baseItem="0"/>
  </dataFields>
  <chartFormats count="5">
    <chartFormat chart="10" format="2" series="1">
      <pivotArea type="data" outline="0" fieldPosition="0">
        <references count="2">
          <reference field="4294967294" count="1" selected="0">
            <x v="0"/>
          </reference>
          <reference field="1"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2">
          <reference field="4294967294" count="1" selected="0">
            <x v="0"/>
          </reference>
          <reference field="1" count="1" selected="0">
            <x v="3"/>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873D0F-527A-46AD-BDEB-E46FC5229158}" name="Mission Performance 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S1:T8" firstHeaderRow="1" firstDataRow="1" firstDataCol="1"/>
  <pivotFields count="24">
    <pivotField showAll="0"/>
    <pivotField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axis="axisRow" showAll="0">
      <items count="8">
        <item x="3"/>
        <item x="5"/>
        <item x="4"/>
        <item x="1"/>
        <item h="1" x="6"/>
        <item x="0"/>
        <item x="2"/>
        <item t="default"/>
      </items>
    </pivotField>
    <pivotField showAll="0"/>
    <pivotField showAll="0"/>
    <pivotField dataField="1" showAll="0"/>
    <pivotField showAll="0"/>
    <pivotField showAll="0"/>
    <pivotField showAll="0"/>
    <pivotField showAll="0"/>
    <pivotField showAll="0"/>
    <pivotField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5"/>
    </i>
    <i>
      <x v="6"/>
    </i>
    <i t="grand">
      <x/>
    </i>
  </rowItems>
  <colItems count="1">
    <i/>
  </colItems>
  <dataFields count="1">
    <dataField name="Average of Response_Time_ms" fld="9" subtotal="average"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96120F-ABF1-4FB0-ADAA-B5BC442B95CC}" name="PivotTable5"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11:B16" firstHeaderRow="1" firstDataRow="1" firstDataCol="1"/>
  <pivotFields count="24">
    <pivotField showAll="0"/>
    <pivotField axis="axisRow"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0"/>
        <item x="1"/>
        <item x="2"/>
        <item t="default"/>
      </items>
    </pivotField>
    <pivotField showAll="0">
      <items count="8">
        <item x="3"/>
        <item x="5"/>
        <item x="4"/>
        <item x="1"/>
        <item h="1" x="6"/>
        <item x="0"/>
        <item x="2"/>
        <item t="default"/>
      </items>
    </pivotField>
    <pivotField showAll="0"/>
    <pivotField showAll="0"/>
    <pivotField showAll="0"/>
    <pivotField showAll="0"/>
    <pivotField showAll="0"/>
    <pivotField showAll="0"/>
    <pivotField showAll="0"/>
    <pivotField showAll="0"/>
    <pivotField dataField="1"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Average of Annual_Maintenance_Cost_USD" fld="15" subtotal="average" baseField="1" baseItem="0" numFmtId="164"/>
  </dataFields>
  <chartFormats count="5">
    <chartFormat chart="29" format="3" series="1">
      <pivotArea type="data" outline="0" fieldPosition="0">
        <references count="1">
          <reference field="4294967294" count="1" selected="0">
            <x v="0"/>
          </reference>
        </references>
      </pivotArea>
    </chartFormat>
    <chartFormat chart="29" format="4">
      <pivotArea type="data" outline="0" fieldPosition="0">
        <references count="2">
          <reference field="4294967294" count="1" selected="0">
            <x v="0"/>
          </reference>
          <reference field="1" count="1" selected="0">
            <x v="0"/>
          </reference>
        </references>
      </pivotArea>
    </chartFormat>
    <chartFormat chart="29" format="5">
      <pivotArea type="data" outline="0" fieldPosition="0">
        <references count="2">
          <reference field="4294967294" count="1" selected="0">
            <x v="0"/>
          </reference>
          <reference field="1" count="1" selected="0">
            <x v="1"/>
          </reference>
        </references>
      </pivotArea>
    </chartFormat>
    <chartFormat chart="29" format="6">
      <pivotArea type="data" outline="0" fieldPosition="0">
        <references count="2">
          <reference field="4294967294" count="1" selected="0">
            <x v="0"/>
          </reference>
          <reference field="1" count="1" selected="0">
            <x v="2"/>
          </reference>
        </references>
      </pivotArea>
    </chartFormat>
    <chartFormat chart="29" format="7">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B7D3E1-4CC5-46BF-9EAB-21194116C663}" name="Regional Deployment 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I15:J20" firstHeaderRow="1" firstDataRow="1" firstDataCol="1"/>
  <pivotFields count="24">
    <pivotField dataField="1" showAll="0"/>
    <pivotField showAll="0">
      <items count="5">
        <item x="0"/>
        <item x="2"/>
        <item x="1"/>
        <item x="3"/>
        <item t="default"/>
      </items>
    </pivotField>
    <pivotField showAll="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3"/>
        <item x="0"/>
        <item x="1"/>
        <item x="2"/>
        <item t="default"/>
      </items>
    </pivotField>
    <pivotField showAll="0">
      <items count="8">
        <item x="3"/>
        <item x="5"/>
        <item x="4"/>
        <item x="1"/>
        <item h="1" x="6"/>
        <item x="0"/>
        <item x="2"/>
        <item t="default"/>
      </items>
    </pivotField>
    <pivotField showAll="0"/>
    <pivotField showAll="0"/>
    <pivotField showAll="0"/>
    <pivotField showAll="0"/>
    <pivotField showAll="0"/>
    <pivotField showAll="0"/>
    <pivotField showAll="0"/>
    <pivotField showAll="0"/>
    <pivotField numFmtId="164" showAll="0"/>
    <pivotField showAll="0"/>
    <pivotField numFmtId="164" showAll="0"/>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Count of System_ID" fld="0" subtotal="count" baseField="0" baseItem="0"/>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113" name="Deployment_Date">
      <autoFilter ref="A1">
        <filterColumn colId="0">
          <customFilters and="1">
            <customFilter operator="greaterThanOrEqual" val="45292"/>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73E379-BB98-4FF6-8371-3A93ED794F9A}" sourceName="Region">
  <pivotTables>
    <pivotTable tabId="8" name="Main KPI Table"/>
    <pivotTable tabId="8" name="Mission Performance Table"/>
    <pivotTable tabId="8" name="Regional Deployment Table"/>
    <pivotTable tabId="8" name="PivotTable68"/>
    <pivotTable tabId="8" name="PivotTable69"/>
    <pivotTable tabId="8" name="PivotTable70"/>
    <pivotTable tabId="8" name="PivotTable5"/>
    <pivotTable tabId="8" name="PivotTable6"/>
    <pivotTable tabId="8" name="PivotTable7"/>
  </pivotTables>
  <data>
    <tabular pivotCacheId="49427198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ssion_Type" xr10:uid="{2EE262F5-E9D5-45F4-A36D-DA664D68ED9F}" sourceName="Mission_Type">
  <pivotTables>
    <pivotTable tabId="8" name="Main KPI Table"/>
    <pivotTable tabId="8" name="Mission Performance Table"/>
    <pivotTable tabId="8" name="Regional Deployment Table"/>
    <pivotTable tabId="8" name="PivotTable68"/>
    <pivotTable tabId="8" name="PivotTable69"/>
    <pivotTable tabId="8" name="PivotTable70"/>
    <pivotTable tabId="8" name="PivotTable5"/>
    <pivotTable tabId="8" name="PivotTable6"/>
    <pivotTable tabId="8" name="PivotTable7"/>
  </pivotTables>
  <data>
    <tabular pivotCacheId="494271987">
      <items count="7">
        <i x="3" s="1"/>
        <i x="5" s="1"/>
        <i x="4" s="1"/>
        <i x="1" s="1"/>
        <i x="6"/>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0BC156E-03E2-4D42-B987-3F63D20608E1}" sourceName="Platform">
  <pivotTables>
    <pivotTable tabId="8" name="Main KPI Table"/>
    <pivotTable tabId="8" name="Mission Performance Table"/>
    <pivotTable tabId="8" name="Regional Deployment Table"/>
    <pivotTable tabId="8" name="PivotTable68"/>
    <pivotTable tabId="8" name="PivotTable69"/>
    <pivotTable tabId="8" name="PivotTable70"/>
    <pivotTable tabId="8" name="PivotTable5"/>
    <pivotTable tabId="8" name="PivotTable6"/>
    <pivotTable tabId="8" name="PivotTable7"/>
  </pivotTables>
  <data>
    <tabular pivotCacheId="494271987">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E206E7-9E35-4E65-8772-C6110C3E3B0E}" cache="Slicer_Region" caption="Region" startItem="1" style="test1" rowHeight="247650"/>
  <slicer name="Mission_Type" xr10:uid="{B169D15D-E19D-4395-82A8-3BDBEE7DF7E5}" cache="Slicer_Mission_Type" caption="Mission_Type" style="test1" rowHeight="247650"/>
  <slicer name="Platform" xr10:uid="{9A348B39-51B9-4408-A8D4-80B688D2A7B6}" cache="Slicer_Platform" caption="Platform" style="test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5A975B-BCB5-471F-B77C-FDEB9669972A}" name="data1" displayName="data1" ref="A1:U101" totalsRowShown="0" headerRowDxfId="40" dataDxfId="39">
  <autoFilter ref="A1:U101" xr:uid="{1B5A975B-BCB5-471F-B77C-FDEB9669972A}"/>
  <tableColumns count="21">
    <tableColumn id="1" xr3:uid="{AD1BD316-A112-4699-B2D7-B43C48CA8EB4}" name="System_ID" dataDxfId="38"/>
    <tableColumn id="2" xr3:uid="{DB02BD89-C608-456F-8B18-4372B0A1771B}" name="Platform" dataDxfId="37"/>
    <tableColumn id="3" xr3:uid="{1B3AC6C6-DBE2-4A85-8E32-61395EE3BC6F}" name="System_Type" dataDxfId="36"/>
    <tableColumn id="4" xr3:uid="{3BB94603-4994-4AFF-B627-BA66A3884392}" name="Manufacturer" dataDxfId="35"/>
    <tableColumn id="5" xr3:uid="{6A92C489-1580-4CCA-8820-6C871CFFA185}" name="Deployment_Date" dataDxfId="34"/>
    <tableColumn id="6" xr3:uid="{F584BCCB-1961-47D4-A546-53B47325465F}" name="Region" dataDxfId="33"/>
    <tableColumn id="7" xr3:uid="{189BA477-BB60-40F5-B82B-432BC13A4A1D}" name="Mission_Type" dataDxfId="32"/>
    <tableColumn id="8" xr3:uid="{862FC837-E601-4790-A133-ED23D36B955F}" name="Threat_Level" dataDxfId="31"/>
    <tableColumn id="9" xr3:uid="{98665B69-A98F-400B-9FF2-821FD826A6DF}" name="Success_Rate" dataDxfId="30"/>
    <tableColumn id="10" xr3:uid="{30337918-D238-41C9-A34C-90B7EAF9079A}" name="Response_Time_ms" dataDxfId="29"/>
    <tableColumn id="11" xr3:uid="{EC0B2DF5-00F6-4E0A-9776-D059762ED76A}" name="Uptime_%" dataDxfId="28"/>
    <tableColumn id="12" xr3:uid="{BC5F86AA-98A3-424E-894C-783E165F3813}" name="Maintenance_Hours_per_Month" dataDxfId="27"/>
    <tableColumn id="13" xr3:uid="{FE653AA6-1F7B-48A4-96D1-10D0976E1125}" name="Energy_Consumption_kWh" dataDxfId="26"/>
    <tableColumn id="14" xr3:uid="{EF2364D1-3356-423B-AD5A-5B36828FFAF7}" name="Cost_per_Hour_USD" dataDxfId="25"/>
    <tableColumn id="15" xr3:uid="{DA6B154D-9EC8-46AC-B59D-C9231C8DAF17}" name="Annual_Operating_Hours" dataDxfId="24"/>
    <tableColumn id="16" xr3:uid="{0FE65679-1C0B-464A-93E6-0431814A2561}" name="Annual_Maintenance_Cost_USD" dataDxfId="23"/>
    <tableColumn id="17" xr3:uid="{CF4728A6-E726-4C69-8CFB-D16244B7013B}" name="Energy_Cost_per_kWh_USD" dataDxfId="22"/>
    <tableColumn id="18" xr3:uid="{8F5BDA5E-A342-4E79-80A4-CF32E24DBB98}" name="Annual_Budget_Allocation_USD" dataDxfId="21"/>
    <tableColumn id="19" xr3:uid="{3D513632-AADD-4915-91C6-5DEBDC06E9D7}" name="Replacement_Cost_USD" dataDxfId="20"/>
    <tableColumn id="20" xr3:uid="{DAF95025-3FD3-4569-BF44-F85FC0DF8AAF}" name="Deployment_Priority" dataDxfId="19"/>
    <tableColumn id="21" xr3:uid="{1BF92AE5-58E1-4AAA-84DF-ECF2B90D2C46}" name="Annua_ OP _Cost" dataDxfId="18">
      <calculatedColumnFormula>data1[[#This Row],[Annual_Operating_Hours]]*data1[[#This Row],[Cost_per_Hour_USD]]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25916C-777B-4A25-A1C3-839C5965F89C}" name="costs" displayName="costs" ref="A1:G101" totalsRowShown="0" headerRowDxfId="17" dataDxfId="16">
  <autoFilter ref="A1:G101" xr:uid="{1C25916C-777B-4A25-A1C3-839C5965F89C}"/>
  <tableColumns count="7">
    <tableColumn id="1" xr3:uid="{91A3CE1F-D6BD-4B9F-9937-D77CC43FC5AD}" name="System_ID" dataDxfId="15"/>
    <tableColumn id="2" xr3:uid="{234E167E-4914-4C41-BEFF-40804C17B216}" name="Annual_Operating_Hours" dataDxfId="14"/>
    <tableColumn id="3" xr3:uid="{341830C4-7B05-4FC6-B95D-161F2163EC08}" name="Annual_Maintenance_Cost_USD" dataDxfId="13" dataCellStyle="Currency"/>
    <tableColumn id="4" xr3:uid="{AAA609B8-A49F-4ECD-B511-9A7E3657DB22}" name="Energy_Cost_per_kWh_USD" dataDxfId="12"/>
    <tableColumn id="5" xr3:uid="{593E6099-FBCD-42BF-9E21-9F5CED0E6EF5}" name="Annual_Budget_Allocation_USD" dataDxfId="11" dataCellStyle="Currency"/>
    <tableColumn id="6" xr3:uid="{D6A4313E-AF3C-4868-9B3C-ADF22FE2B14C}" name="Replacement_Cost_USD" dataDxfId="10" dataCellStyle="Currency"/>
    <tableColumn id="7" xr3:uid="{FFD7BC0B-3184-46BB-BD05-ED29C569413C}" name="Deployment_Priority"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F59CE9-C2B2-472A-A659-2FB98B477E5C}" name="Table3" displayName="Table3" ref="A1:G8" totalsRowShown="0" headerRowDxfId="8" dataDxfId="7">
  <autoFilter ref="A1:G8" xr:uid="{62F59CE9-C2B2-472A-A659-2FB98B477E5C}"/>
  <tableColumns count="7">
    <tableColumn id="1" xr3:uid="{5CEF0D28-75C6-4352-B589-BEB14E4D5124}" name="Scenario" dataDxfId="6"/>
    <tableColumn id="2" xr3:uid="{354BC247-FFE5-4057-AF88-2BFF8CD52EAB}" name="Region" dataDxfId="5"/>
    <tableColumn id="3" xr3:uid="{944B2B2A-2EFB-48E6-BA60-4E39BE44FE17}" name="Threat_Multiplier" dataDxfId="4"/>
    <tableColumn id="4" xr3:uid="{E0119A6F-E3B1-4AC9-96E9-9FEE90BD0FA3}" name="Cost_Multiplier" dataDxfId="3"/>
    <tableColumn id="5" xr3:uid="{E527B4E1-B11E-42CE-931F-BA593EB48BAA}" name="Maintenance_Multiplier" dataDxfId="2"/>
    <tableColumn id="6" xr3:uid="{FDB0DA54-0C00-4546-8462-85BB145822B0}" name="Energy_Multiplier" dataDxfId="1"/>
    <tableColumn id="7" xr3:uid="{A5818528-735B-4A52-A75D-9075F7EE452F}" name="Readiness_Multiplie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ployment_Date" xr10:uid="{8769A2FE-C11F-4AF7-B414-29E6F8EAA94D}" sourceName="Deployment_Date">
  <pivotTables>
    <pivotTable tabId="8" name="PivotTable69"/>
    <pivotTable tabId="8" name="Main KPI Table"/>
    <pivotTable tabId="8" name="Mission Performance Table"/>
    <pivotTable tabId="8" name="PivotTable68"/>
    <pivotTable tabId="8" name="Regional Deployment Table"/>
    <pivotTable tabId="8" name="PivotTable70"/>
    <pivotTable tabId="8" name="PivotTable5"/>
    <pivotTable tabId="8" name="PivotTable6"/>
    <pivotTable tabId="8" name="PivotTable7"/>
  </pivotTables>
  <state minimalRefreshVersion="6" lastRefreshVersion="6" pivotCacheId="494271987" filterType="dateBetween">
    <selection startDate="2024-01-01T00:00:00" endDate="2025-03-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ployment_Date" xr10:uid="{338AB962-B7E7-40DA-90E0-8D5DA4C2E5BA}" cache="NativeTimeline_Deployment_Date" caption="Deployment_Date" level="1" selectionLevel="1" scrollPosition="2024-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C1A2-FB92-4F95-A298-E42F42CD0A6F}">
  <dimension ref="A1:U101"/>
  <sheetViews>
    <sheetView topLeftCell="L1" workbookViewId="0">
      <selection activeCell="P19" sqref="P19"/>
    </sheetView>
  </sheetViews>
  <sheetFormatPr defaultRowHeight="14.4" x14ac:dyDescent="0.3"/>
  <cols>
    <col min="1" max="1" width="14.21875" style="3" bestFit="1" customWidth="1"/>
    <col min="2" max="2" width="12.6640625" style="3" bestFit="1" customWidth="1"/>
    <col min="3" max="3" width="16.33203125" style="3" bestFit="1" customWidth="1"/>
    <col min="4" max="4" width="16.44140625" style="3" bestFit="1" customWidth="1"/>
    <col min="5" max="5" width="20.33203125" style="3" bestFit="1" customWidth="1"/>
    <col min="6" max="6" width="11" style="3" bestFit="1" customWidth="1"/>
    <col min="7" max="7" width="16.44140625" style="3" bestFit="1" customWidth="1"/>
    <col min="8" max="8" width="15.77734375" style="3" bestFit="1" customWidth="1"/>
    <col min="9" max="9" width="16.88671875" style="3" bestFit="1" customWidth="1"/>
    <col min="10" max="10" width="21.88671875" style="3" bestFit="1" customWidth="1"/>
    <col min="11" max="11" width="14" style="3" bestFit="1" customWidth="1"/>
    <col min="12" max="12" width="31.6640625" style="3" bestFit="1" customWidth="1"/>
    <col min="13" max="13" width="27.5546875" style="3" bestFit="1" customWidth="1"/>
    <col min="14" max="14" width="22.109375" style="3" bestFit="1" customWidth="1"/>
    <col min="15" max="16" width="22" style="3" customWidth="1"/>
    <col min="17" max="17" width="28.109375" style="3" bestFit="1" customWidth="1"/>
    <col min="18" max="18" width="20.88671875" style="3" customWidth="1"/>
    <col min="19" max="19" width="14.33203125" style="3" customWidth="1"/>
    <col min="20" max="20" width="15.33203125" style="3" customWidth="1"/>
    <col min="21" max="21" width="13.77734375" style="3" customWidth="1"/>
    <col min="22" max="16384" width="8.88671875" style="3"/>
  </cols>
  <sheetData>
    <row r="1" spans="1:2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142</v>
      </c>
      <c r="P1" s="4" t="s">
        <v>143</v>
      </c>
      <c r="Q1" s="3" t="s">
        <v>144</v>
      </c>
      <c r="R1" s="4" t="s">
        <v>145</v>
      </c>
      <c r="S1" s="4" t="s">
        <v>146</v>
      </c>
      <c r="T1" s="3" t="s">
        <v>147</v>
      </c>
      <c r="U1" s="3" t="s">
        <v>235</v>
      </c>
    </row>
    <row r="2" spans="1:21" x14ac:dyDescent="0.3">
      <c r="A2" s="3" t="s">
        <v>14</v>
      </c>
      <c r="B2" s="3" t="s">
        <v>15</v>
      </c>
      <c r="C2" s="3" t="s">
        <v>16</v>
      </c>
      <c r="D2" s="3" t="s">
        <v>17</v>
      </c>
      <c r="E2" s="1">
        <v>45296</v>
      </c>
      <c r="F2" s="3" t="s">
        <v>18</v>
      </c>
      <c r="G2" s="3" t="s">
        <v>19</v>
      </c>
      <c r="H2" s="3" t="s">
        <v>20</v>
      </c>
      <c r="I2" s="3">
        <v>0.93</v>
      </c>
      <c r="J2" s="3">
        <v>180</v>
      </c>
      <c r="K2" s="3">
        <v>99.1</v>
      </c>
      <c r="L2" s="3">
        <v>12</v>
      </c>
      <c r="M2" s="3">
        <v>420</v>
      </c>
      <c r="N2" s="3">
        <v>1850</v>
      </c>
      <c r="O2" s="3">
        <v>2200</v>
      </c>
      <c r="P2" s="4">
        <v>85000</v>
      </c>
      <c r="Q2" s="3">
        <v>0.18</v>
      </c>
      <c r="R2" s="4">
        <v>4100000</v>
      </c>
      <c r="S2" s="4">
        <v>2800000</v>
      </c>
      <c r="T2" s="3">
        <v>4</v>
      </c>
      <c r="U2" s="3">
        <f>data1[[#This Row],[Annual_Operating_Hours]]*data1[[#This Row],[Cost_per_Hour_USD]]</f>
        <v>4070000</v>
      </c>
    </row>
    <row r="3" spans="1:21" x14ac:dyDescent="0.3">
      <c r="A3" s="3" t="s">
        <v>21</v>
      </c>
      <c r="B3" s="3" t="s">
        <v>15</v>
      </c>
      <c r="C3" s="3" t="s">
        <v>22</v>
      </c>
      <c r="D3" s="3" t="s">
        <v>23</v>
      </c>
      <c r="E3" s="1">
        <v>45301</v>
      </c>
      <c r="F3" s="3" t="s">
        <v>24</v>
      </c>
      <c r="G3" s="3" t="s">
        <v>25</v>
      </c>
      <c r="H3" s="3" t="s">
        <v>26</v>
      </c>
      <c r="I3" s="3">
        <v>0.88</v>
      </c>
      <c r="J3" s="3">
        <v>230</v>
      </c>
      <c r="K3" s="3">
        <v>97.5</v>
      </c>
      <c r="L3" s="3">
        <v>18</v>
      </c>
      <c r="M3" s="3">
        <v>480</v>
      </c>
      <c r="N3" s="3">
        <v>2100</v>
      </c>
      <c r="O3" s="3">
        <v>2400</v>
      </c>
      <c r="P3" s="4">
        <v>120000</v>
      </c>
      <c r="Q3" s="3">
        <v>0.18</v>
      </c>
      <c r="R3" s="4">
        <v>5100000</v>
      </c>
      <c r="S3" s="4">
        <v>3500000</v>
      </c>
      <c r="T3" s="3">
        <v>5</v>
      </c>
      <c r="U3" s="3">
        <f>data1[[#This Row],[Annual_Operating_Hours]]*data1[[#This Row],[Cost_per_Hour_USD]]</f>
        <v>5040000</v>
      </c>
    </row>
    <row r="4" spans="1:21" x14ac:dyDescent="0.3">
      <c r="A4" s="3" t="s">
        <v>27</v>
      </c>
      <c r="B4" s="3" t="s">
        <v>28</v>
      </c>
      <c r="C4" s="3" t="s">
        <v>16</v>
      </c>
      <c r="D4" s="3" t="s">
        <v>29</v>
      </c>
      <c r="E4" s="1">
        <v>45305</v>
      </c>
      <c r="F4" s="3" t="s">
        <v>30</v>
      </c>
      <c r="G4" s="3" t="s">
        <v>31</v>
      </c>
      <c r="H4" s="3" t="s">
        <v>20</v>
      </c>
      <c r="I4" s="3">
        <v>0.96</v>
      </c>
      <c r="J4" s="3">
        <v>95</v>
      </c>
      <c r="K4" s="3">
        <v>99.8</v>
      </c>
      <c r="L4" s="3">
        <v>9</v>
      </c>
      <c r="M4" s="3">
        <v>1500</v>
      </c>
      <c r="N4" s="3">
        <v>4500</v>
      </c>
      <c r="O4" s="3">
        <v>8000</v>
      </c>
      <c r="P4" s="4">
        <v>150000</v>
      </c>
      <c r="Q4" s="3">
        <v>0.14000000000000001</v>
      </c>
      <c r="R4" s="4">
        <v>9100000</v>
      </c>
      <c r="S4" s="4">
        <v>12000000</v>
      </c>
      <c r="T4" s="3">
        <v>5</v>
      </c>
      <c r="U4" s="3">
        <f>data1[[#This Row],[Annual_Operating_Hours]]*data1[[#This Row],[Cost_per_Hour_USD]]</f>
        <v>36000000</v>
      </c>
    </row>
    <row r="5" spans="1:21" x14ac:dyDescent="0.3">
      <c r="A5" s="3" t="s">
        <v>32</v>
      </c>
      <c r="B5" s="3" t="s">
        <v>33</v>
      </c>
      <c r="C5" s="3" t="s">
        <v>34</v>
      </c>
      <c r="D5" s="3" t="s">
        <v>35</v>
      </c>
      <c r="E5" s="1">
        <v>45309</v>
      </c>
      <c r="F5" s="3" t="s">
        <v>36</v>
      </c>
      <c r="G5" s="3" t="s">
        <v>37</v>
      </c>
      <c r="H5" s="3" t="s">
        <v>26</v>
      </c>
      <c r="I5" s="3">
        <v>0.91</v>
      </c>
      <c r="J5" s="3">
        <v>120</v>
      </c>
      <c r="K5" s="3">
        <v>98.7</v>
      </c>
      <c r="L5" s="3">
        <v>15</v>
      </c>
      <c r="M5" s="3">
        <v>900</v>
      </c>
      <c r="N5" s="3">
        <v>3200</v>
      </c>
      <c r="O5" s="3">
        <v>6000</v>
      </c>
      <c r="P5" s="4">
        <v>130000</v>
      </c>
      <c r="Q5" s="3">
        <v>0.16</v>
      </c>
      <c r="R5" s="4">
        <v>7200000</v>
      </c>
      <c r="S5" s="4">
        <v>9000000</v>
      </c>
      <c r="T5" s="3">
        <v>5</v>
      </c>
      <c r="U5" s="3">
        <f>data1[[#This Row],[Annual_Operating_Hours]]*data1[[#This Row],[Cost_per_Hour_USD]]</f>
        <v>19200000</v>
      </c>
    </row>
    <row r="6" spans="1:21" x14ac:dyDescent="0.3">
      <c r="A6" s="3" t="s">
        <v>38</v>
      </c>
      <c r="B6" s="3" t="s">
        <v>39</v>
      </c>
      <c r="C6" s="3" t="s">
        <v>22</v>
      </c>
      <c r="D6" s="3" t="s">
        <v>40</v>
      </c>
      <c r="E6" s="1">
        <v>45313</v>
      </c>
      <c r="F6" s="3" t="s">
        <v>18</v>
      </c>
      <c r="G6" s="3" t="s">
        <v>41</v>
      </c>
      <c r="H6" s="3" t="s">
        <v>20</v>
      </c>
      <c r="I6" s="3">
        <v>0.86</v>
      </c>
      <c r="J6" s="3">
        <v>260</v>
      </c>
      <c r="K6" s="3">
        <v>96.9</v>
      </c>
      <c r="L6" s="3">
        <v>22</v>
      </c>
      <c r="M6" s="3">
        <v>650</v>
      </c>
      <c r="N6" s="3">
        <v>1750</v>
      </c>
      <c r="O6" s="3">
        <v>2000</v>
      </c>
      <c r="P6" s="4">
        <v>90000</v>
      </c>
      <c r="Q6" s="3">
        <v>0.17</v>
      </c>
      <c r="R6" s="4">
        <v>3600000</v>
      </c>
      <c r="S6" s="4">
        <v>2600000</v>
      </c>
      <c r="T6" s="3">
        <v>3</v>
      </c>
      <c r="U6" s="3">
        <f>data1[[#This Row],[Annual_Operating_Hours]]*data1[[#This Row],[Cost_per_Hour_USD]]</f>
        <v>3500000</v>
      </c>
    </row>
    <row r="7" spans="1:21" x14ac:dyDescent="0.3">
      <c r="A7" s="3" t="s">
        <v>42</v>
      </c>
      <c r="B7" s="3" t="s">
        <v>15</v>
      </c>
      <c r="C7" s="3" t="s">
        <v>16</v>
      </c>
      <c r="D7" s="3" t="s">
        <v>17</v>
      </c>
      <c r="E7" s="1">
        <v>45323</v>
      </c>
      <c r="F7" s="3" t="s">
        <v>30</v>
      </c>
      <c r="G7" s="3" t="s">
        <v>19</v>
      </c>
      <c r="H7" s="3" t="s">
        <v>43</v>
      </c>
      <c r="I7" s="3">
        <v>0.94</v>
      </c>
      <c r="J7" s="3">
        <v>170</v>
      </c>
      <c r="K7" s="3">
        <v>99.3</v>
      </c>
      <c r="L7" s="3">
        <v>11</v>
      </c>
      <c r="M7" s="3">
        <v>410</v>
      </c>
      <c r="N7" s="3">
        <v>1820</v>
      </c>
      <c r="O7" s="3">
        <v>2300</v>
      </c>
      <c r="P7" s="4">
        <v>82000</v>
      </c>
      <c r="Q7" s="3">
        <v>0.18</v>
      </c>
      <c r="R7" s="4">
        <v>4200000</v>
      </c>
      <c r="S7" s="4">
        <v>2800000</v>
      </c>
      <c r="T7" s="3">
        <v>4</v>
      </c>
      <c r="U7" s="3">
        <f>data1[[#This Row],[Annual_Operating_Hours]]*data1[[#This Row],[Cost_per_Hour_USD]]</f>
        <v>4186000</v>
      </c>
    </row>
    <row r="8" spans="1:21" x14ac:dyDescent="0.3">
      <c r="A8" s="3" t="s">
        <v>44</v>
      </c>
      <c r="B8" s="3" t="s">
        <v>28</v>
      </c>
      <c r="C8" s="3" t="s">
        <v>45</v>
      </c>
      <c r="D8" s="3" t="s">
        <v>29</v>
      </c>
      <c r="E8" s="1">
        <v>45327</v>
      </c>
      <c r="F8" s="3" t="s">
        <v>36</v>
      </c>
      <c r="G8" s="3" t="s">
        <v>46</v>
      </c>
      <c r="H8" s="3" t="s">
        <v>43</v>
      </c>
      <c r="I8" s="3">
        <v>0.97</v>
      </c>
      <c r="J8" s="3">
        <v>85</v>
      </c>
      <c r="K8" s="3">
        <v>99.9</v>
      </c>
      <c r="L8" s="3">
        <v>7</v>
      </c>
      <c r="M8" s="3">
        <v>1600</v>
      </c>
      <c r="N8" s="3">
        <v>4800</v>
      </c>
      <c r="O8" s="3">
        <v>8200</v>
      </c>
      <c r="P8" s="4">
        <v>160000</v>
      </c>
      <c r="Q8" s="3">
        <v>0.14000000000000001</v>
      </c>
      <c r="R8" s="4">
        <v>9400000</v>
      </c>
      <c r="S8" s="4">
        <v>12500000</v>
      </c>
      <c r="T8" s="3">
        <v>5</v>
      </c>
      <c r="U8" s="3">
        <f>data1[[#This Row],[Annual_Operating_Hours]]*data1[[#This Row],[Cost_per_Hour_USD]]</f>
        <v>39360000</v>
      </c>
    </row>
    <row r="9" spans="1:21" x14ac:dyDescent="0.3">
      <c r="A9" s="3" t="s">
        <v>47</v>
      </c>
      <c r="B9" s="3" t="s">
        <v>33</v>
      </c>
      <c r="C9" s="3" t="s">
        <v>34</v>
      </c>
      <c r="D9" s="3" t="s">
        <v>35</v>
      </c>
      <c r="E9" s="1">
        <v>45334</v>
      </c>
      <c r="F9" s="3" t="s">
        <v>24</v>
      </c>
      <c r="G9" s="3" t="s">
        <v>37</v>
      </c>
      <c r="H9" s="3" t="s">
        <v>26</v>
      </c>
      <c r="I9" s="3">
        <v>0.89</v>
      </c>
      <c r="J9" s="3">
        <v>145</v>
      </c>
      <c r="K9" s="3">
        <v>97.8</v>
      </c>
      <c r="L9" s="3">
        <v>19</v>
      </c>
      <c r="M9" s="3">
        <v>940</v>
      </c>
      <c r="N9" s="3">
        <v>3300</v>
      </c>
      <c r="O9" s="3">
        <v>6200</v>
      </c>
      <c r="P9" s="4">
        <v>140000</v>
      </c>
      <c r="Q9" s="3">
        <v>0.16</v>
      </c>
      <c r="R9" s="4">
        <v>7500000</v>
      </c>
      <c r="S9" s="4">
        <v>9200000</v>
      </c>
      <c r="T9" s="3">
        <v>5</v>
      </c>
      <c r="U9" s="3">
        <f>data1[[#This Row],[Annual_Operating_Hours]]*data1[[#This Row],[Cost_per_Hour_USD]]</f>
        <v>20460000</v>
      </c>
    </row>
    <row r="10" spans="1:21" x14ac:dyDescent="0.3">
      <c r="A10" s="3" t="s">
        <v>48</v>
      </c>
      <c r="B10" s="3" t="s">
        <v>15</v>
      </c>
      <c r="C10" s="3" t="s">
        <v>22</v>
      </c>
      <c r="D10" s="3" t="s">
        <v>23</v>
      </c>
      <c r="E10" s="1">
        <v>45342</v>
      </c>
      <c r="F10" s="3" t="s">
        <v>18</v>
      </c>
      <c r="G10" s="3" t="s">
        <v>25</v>
      </c>
      <c r="H10" s="3" t="s">
        <v>26</v>
      </c>
      <c r="I10" s="3">
        <v>0.85</v>
      </c>
      <c r="J10" s="3">
        <v>250</v>
      </c>
      <c r="K10" s="3">
        <v>96.2</v>
      </c>
      <c r="L10" s="3">
        <v>23</v>
      </c>
      <c r="M10" s="3">
        <v>510</v>
      </c>
      <c r="N10" s="3">
        <v>2150</v>
      </c>
      <c r="O10" s="3">
        <v>2400</v>
      </c>
      <c r="P10" s="4">
        <v>125000</v>
      </c>
      <c r="Q10" s="3">
        <v>0.18</v>
      </c>
      <c r="R10" s="4">
        <v>5200000</v>
      </c>
      <c r="S10" s="4">
        <v>3600000</v>
      </c>
      <c r="T10" s="3">
        <v>5</v>
      </c>
      <c r="U10" s="3">
        <f>data1[[#This Row],[Annual_Operating_Hours]]*data1[[#This Row],[Cost_per_Hour_USD]]</f>
        <v>5160000</v>
      </c>
    </row>
    <row r="11" spans="1:21" x14ac:dyDescent="0.3">
      <c r="A11" s="3" t="s">
        <v>49</v>
      </c>
      <c r="B11" s="3" t="s">
        <v>39</v>
      </c>
      <c r="C11" s="3" t="s">
        <v>50</v>
      </c>
      <c r="D11" s="3" t="s">
        <v>40</v>
      </c>
      <c r="E11" s="1">
        <v>45352</v>
      </c>
      <c r="F11" s="3" t="s">
        <v>30</v>
      </c>
      <c r="G11" s="3" t="s">
        <v>51</v>
      </c>
      <c r="H11" s="3" t="s">
        <v>43</v>
      </c>
      <c r="I11" s="3">
        <v>0.92</v>
      </c>
      <c r="J11" s="3">
        <v>200</v>
      </c>
      <c r="K11" s="3">
        <v>98.9</v>
      </c>
      <c r="L11" s="3">
        <v>14</v>
      </c>
      <c r="M11" s="3">
        <v>600</v>
      </c>
      <c r="N11" s="3">
        <v>1700</v>
      </c>
      <c r="O11" s="3">
        <v>2100</v>
      </c>
      <c r="P11" s="4">
        <v>88000</v>
      </c>
      <c r="Q11" s="3">
        <v>0.17</v>
      </c>
      <c r="R11" s="4">
        <v>3700000</v>
      </c>
      <c r="S11" s="4">
        <v>2500000</v>
      </c>
      <c r="T11" s="3">
        <v>3</v>
      </c>
      <c r="U11" s="3">
        <f>data1[[#This Row],[Annual_Operating_Hours]]*data1[[#This Row],[Cost_per_Hour_USD]]</f>
        <v>3570000</v>
      </c>
    </row>
    <row r="12" spans="1:21" x14ac:dyDescent="0.3">
      <c r="A12" s="3" t="s">
        <v>52</v>
      </c>
      <c r="B12" s="3" t="s">
        <v>28</v>
      </c>
      <c r="C12" s="3" t="s">
        <v>16</v>
      </c>
      <c r="D12" s="3" t="s">
        <v>29</v>
      </c>
      <c r="E12" s="1">
        <v>45359</v>
      </c>
      <c r="F12" s="3" t="s">
        <v>18</v>
      </c>
      <c r="G12" s="3" t="s">
        <v>31</v>
      </c>
      <c r="H12" s="3" t="s">
        <v>20</v>
      </c>
      <c r="I12" s="3">
        <v>0.95</v>
      </c>
      <c r="J12" s="3">
        <v>100</v>
      </c>
      <c r="K12" s="3">
        <v>99.5</v>
      </c>
      <c r="L12" s="3">
        <v>10</v>
      </c>
      <c r="M12" s="3">
        <v>1550</v>
      </c>
      <c r="N12" s="3">
        <v>4600</v>
      </c>
      <c r="O12" s="3">
        <v>8100</v>
      </c>
      <c r="P12" s="4">
        <v>150000</v>
      </c>
      <c r="Q12" s="3">
        <v>0.14000000000000001</v>
      </c>
      <c r="R12" s="4">
        <v>9000000</v>
      </c>
      <c r="S12" s="4">
        <v>12000000</v>
      </c>
      <c r="T12" s="3">
        <v>5</v>
      </c>
      <c r="U12" s="3">
        <f>data1[[#This Row],[Annual_Operating_Hours]]*data1[[#This Row],[Cost_per_Hour_USD]]</f>
        <v>37260000</v>
      </c>
    </row>
    <row r="13" spans="1:21" x14ac:dyDescent="0.3">
      <c r="A13" s="3" t="s">
        <v>53</v>
      </c>
      <c r="B13" s="3" t="s">
        <v>33</v>
      </c>
      <c r="C13" s="3" t="s">
        <v>34</v>
      </c>
      <c r="D13" s="3" t="s">
        <v>35</v>
      </c>
      <c r="E13" s="1">
        <v>45366</v>
      </c>
      <c r="F13" s="3" t="s">
        <v>36</v>
      </c>
      <c r="G13" s="3" t="s">
        <v>37</v>
      </c>
      <c r="H13" s="3" t="s">
        <v>20</v>
      </c>
      <c r="I13" s="3">
        <v>0.9</v>
      </c>
      <c r="J13" s="3">
        <v>130</v>
      </c>
      <c r="K13" s="3">
        <v>98.1</v>
      </c>
      <c r="L13" s="3">
        <v>16</v>
      </c>
      <c r="M13" s="3">
        <v>910</v>
      </c>
      <c r="N13" s="3">
        <v>3250</v>
      </c>
      <c r="O13" s="3">
        <v>6100</v>
      </c>
      <c r="P13" s="4">
        <v>132000</v>
      </c>
      <c r="Q13" s="3">
        <v>0.16</v>
      </c>
      <c r="R13" s="4">
        <v>7300000</v>
      </c>
      <c r="S13" s="4">
        <v>9100000</v>
      </c>
      <c r="T13" s="3">
        <v>4</v>
      </c>
      <c r="U13" s="3">
        <f>data1[[#This Row],[Annual_Operating_Hours]]*data1[[#This Row],[Cost_per_Hour_USD]]</f>
        <v>19825000</v>
      </c>
    </row>
    <row r="14" spans="1:21" x14ac:dyDescent="0.3">
      <c r="A14" s="3" t="s">
        <v>54</v>
      </c>
      <c r="B14" s="3" t="s">
        <v>15</v>
      </c>
      <c r="C14" s="3" t="s">
        <v>16</v>
      </c>
      <c r="D14" s="3" t="s">
        <v>17</v>
      </c>
      <c r="E14" s="1">
        <v>45373</v>
      </c>
      <c r="F14" s="3" t="s">
        <v>24</v>
      </c>
      <c r="G14" s="3" t="s">
        <v>19</v>
      </c>
      <c r="H14" s="3" t="s">
        <v>26</v>
      </c>
      <c r="I14" s="3">
        <v>0.91</v>
      </c>
      <c r="J14" s="3">
        <v>190</v>
      </c>
      <c r="K14" s="3">
        <v>98.5</v>
      </c>
      <c r="L14" s="3">
        <v>13</v>
      </c>
      <c r="M14" s="3">
        <v>430</v>
      </c>
      <c r="N14" s="3">
        <v>1900</v>
      </c>
      <c r="O14" s="3">
        <v>2300</v>
      </c>
      <c r="P14" s="4">
        <v>90000</v>
      </c>
      <c r="Q14" s="3">
        <v>0.18</v>
      </c>
      <c r="R14" s="4">
        <v>4300000</v>
      </c>
      <c r="S14" s="4">
        <v>2900000</v>
      </c>
      <c r="T14" s="3">
        <v>4</v>
      </c>
      <c r="U14" s="3">
        <f>data1[[#This Row],[Annual_Operating_Hours]]*data1[[#This Row],[Cost_per_Hour_USD]]</f>
        <v>4370000</v>
      </c>
    </row>
    <row r="15" spans="1:21" x14ac:dyDescent="0.3">
      <c r="A15" s="3" t="s">
        <v>55</v>
      </c>
      <c r="B15" s="3" t="s">
        <v>39</v>
      </c>
      <c r="C15" s="3" t="s">
        <v>22</v>
      </c>
      <c r="D15" s="3" t="s">
        <v>40</v>
      </c>
      <c r="E15" s="1">
        <v>45384</v>
      </c>
      <c r="F15" s="3" t="s">
        <v>18</v>
      </c>
      <c r="G15" s="3" t="s">
        <v>41</v>
      </c>
      <c r="H15" s="3" t="s">
        <v>20</v>
      </c>
      <c r="I15" s="3">
        <v>0.87</v>
      </c>
      <c r="J15" s="3">
        <v>240</v>
      </c>
      <c r="K15" s="3">
        <v>97.2</v>
      </c>
      <c r="L15" s="3">
        <v>21</v>
      </c>
      <c r="M15" s="3">
        <v>670</v>
      </c>
      <c r="N15" s="3">
        <v>1800</v>
      </c>
      <c r="O15" s="3">
        <v>2100</v>
      </c>
      <c r="P15" s="4">
        <v>95000</v>
      </c>
      <c r="Q15" s="3">
        <v>0.17</v>
      </c>
      <c r="R15" s="4">
        <v>3800000</v>
      </c>
      <c r="S15" s="4">
        <v>2700000</v>
      </c>
      <c r="T15" s="3">
        <v>3</v>
      </c>
      <c r="U15" s="3">
        <f>data1[[#This Row],[Annual_Operating_Hours]]*data1[[#This Row],[Cost_per_Hour_USD]]</f>
        <v>3780000</v>
      </c>
    </row>
    <row r="16" spans="1:21" x14ac:dyDescent="0.3">
      <c r="A16" s="3" t="s">
        <v>56</v>
      </c>
      <c r="B16" s="3" t="s">
        <v>28</v>
      </c>
      <c r="C16" s="3" t="s">
        <v>45</v>
      </c>
      <c r="D16" s="3" t="s">
        <v>29</v>
      </c>
      <c r="E16" s="1">
        <v>45392</v>
      </c>
      <c r="F16" s="3" t="s">
        <v>30</v>
      </c>
      <c r="G16" s="3" t="s">
        <v>46</v>
      </c>
      <c r="H16" s="3" t="s">
        <v>43</v>
      </c>
      <c r="I16" s="3">
        <v>0.98</v>
      </c>
      <c r="J16" s="3">
        <v>80</v>
      </c>
      <c r="K16" s="3">
        <v>99.9</v>
      </c>
      <c r="L16" s="3">
        <v>6</v>
      </c>
      <c r="M16" s="3">
        <v>1650</v>
      </c>
      <c r="N16" s="3">
        <v>4900</v>
      </c>
      <c r="O16" s="3">
        <v>8300</v>
      </c>
      <c r="P16" s="4">
        <v>170000</v>
      </c>
      <c r="Q16" s="3">
        <v>0.14000000000000001</v>
      </c>
      <c r="R16" s="4">
        <v>9600000</v>
      </c>
      <c r="S16" s="4">
        <v>13000000</v>
      </c>
      <c r="T16" s="3">
        <v>5</v>
      </c>
      <c r="U16" s="3">
        <f>data1[[#This Row],[Annual_Operating_Hours]]*data1[[#This Row],[Cost_per_Hour_USD]]</f>
        <v>40670000</v>
      </c>
    </row>
    <row r="17" spans="1:21" x14ac:dyDescent="0.3">
      <c r="A17" s="3" t="s">
        <v>57</v>
      </c>
      <c r="B17" s="3" t="s">
        <v>33</v>
      </c>
      <c r="C17" s="3" t="s">
        <v>34</v>
      </c>
      <c r="D17" s="3" t="s">
        <v>35</v>
      </c>
      <c r="E17" s="1">
        <v>45400</v>
      </c>
      <c r="F17" s="3" t="s">
        <v>24</v>
      </c>
      <c r="G17" s="3" t="s">
        <v>37</v>
      </c>
      <c r="H17" s="3" t="s">
        <v>26</v>
      </c>
      <c r="I17" s="3">
        <v>0.88</v>
      </c>
      <c r="J17" s="3">
        <v>150</v>
      </c>
      <c r="K17" s="3">
        <v>97.4</v>
      </c>
      <c r="L17" s="3">
        <v>20</v>
      </c>
      <c r="M17" s="3">
        <v>960</v>
      </c>
      <c r="N17" s="3">
        <v>3350</v>
      </c>
      <c r="O17" s="3">
        <v>6200</v>
      </c>
      <c r="P17" s="4">
        <v>145000</v>
      </c>
      <c r="Q17" s="3">
        <v>0.16</v>
      </c>
      <c r="R17" s="4">
        <v>7600000</v>
      </c>
      <c r="S17" s="4">
        <v>9400000</v>
      </c>
      <c r="T17" s="3">
        <v>5</v>
      </c>
      <c r="U17" s="3">
        <f>data1[[#This Row],[Annual_Operating_Hours]]*data1[[#This Row],[Cost_per_Hour_USD]]</f>
        <v>20770000</v>
      </c>
    </row>
    <row r="18" spans="1:21" x14ac:dyDescent="0.3">
      <c r="A18" s="3" t="s">
        <v>58</v>
      </c>
      <c r="B18" s="3" t="s">
        <v>15</v>
      </c>
      <c r="C18" s="3" t="s">
        <v>22</v>
      </c>
      <c r="D18" s="3" t="s">
        <v>23</v>
      </c>
      <c r="E18" s="1">
        <v>45407</v>
      </c>
      <c r="F18" s="3" t="s">
        <v>36</v>
      </c>
      <c r="G18" s="3" t="s">
        <v>25</v>
      </c>
      <c r="H18" s="3" t="s">
        <v>26</v>
      </c>
      <c r="I18" s="3">
        <v>0.86</v>
      </c>
      <c r="J18" s="3">
        <v>245</v>
      </c>
      <c r="K18" s="3">
        <v>96.5</v>
      </c>
      <c r="L18" s="3">
        <v>22</v>
      </c>
      <c r="M18" s="3">
        <v>520</v>
      </c>
      <c r="N18" s="3">
        <v>2200</v>
      </c>
      <c r="O18" s="3">
        <v>2500</v>
      </c>
      <c r="P18" s="4">
        <v>130000</v>
      </c>
      <c r="Q18" s="3">
        <v>0.18</v>
      </c>
      <c r="R18" s="4">
        <v>5300000</v>
      </c>
      <c r="S18" s="4">
        <v>3700000</v>
      </c>
      <c r="T18" s="3">
        <v>5</v>
      </c>
      <c r="U18" s="3">
        <f>data1[[#This Row],[Annual_Operating_Hours]]*data1[[#This Row],[Cost_per_Hour_USD]]</f>
        <v>5500000</v>
      </c>
    </row>
    <row r="19" spans="1:21" x14ac:dyDescent="0.3">
      <c r="A19" s="3" t="s">
        <v>59</v>
      </c>
      <c r="B19" s="3" t="s">
        <v>39</v>
      </c>
      <c r="C19" s="3" t="s">
        <v>50</v>
      </c>
      <c r="D19" s="3" t="s">
        <v>40</v>
      </c>
      <c r="E19" s="1">
        <v>45415</v>
      </c>
      <c r="F19" s="3" t="s">
        <v>18</v>
      </c>
      <c r="G19" s="3" t="s">
        <v>51</v>
      </c>
      <c r="H19" s="3" t="s">
        <v>43</v>
      </c>
      <c r="I19" s="3">
        <v>0.93</v>
      </c>
      <c r="J19" s="3">
        <v>195</v>
      </c>
      <c r="K19" s="3">
        <v>99</v>
      </c>
      <c r="L19" s="3">
        <v>13</v>
      </c>
      <c r="M19" s="3">
        <v>610</v>
      </c>
      <c r="N19" s="3">
        <v>1720</v>
      </c>
      <c r="O19" s="3">
        <v>2200</v>
      </c>
      <c r="P19" s="4">
        <v>87000</v>
      </c>
      <c r="Q19" s="3">
        <v>0.17</v>
      </c>
      <c r="R19" s="4">
        <v>3900000</v>
      </c>
      <c r="S19" s="4">
        <v>2550000</v>
      </c>
      <c r="T19" s="3">
        <v>3</v>
      </c>
      <c r="U19" s="3">
        <f>data1[[#This Row],[Annual_Operating_Hours]]*data1[[#This Row],[Cost_per_Hour_USD]]</f>
        <v>3784000</v>
      </c>
    </row>
    <row r="20" spans="1:21" x14ac:dyDescent="0.3">
      <c r="A20" s="3" t="s">
        <v>60</v>
      </c>
      <c r="B20" s="3" t="s">
        <v>28</v>
      </c>
      <c r="C20" s="3" t="s">
        <v>16</v>
      </c>
      <c r="D20" s="3" t="s">
        <v>29</v>
      </c>
      <c r="E20" s="1">
        <v>45423</v>
      </c>
      <c r="F20" s="3" t="s">
        <v>24</v>
      </c>
      <c r="G20" s="3" t="s">
        <v>31</v>
      </c>
      <c r="H20" s="3" t="s">
        <v>20</v>
      </c>
      <c r="I20" s="3">
        <v>0.94</v>
      </c>
      <c r="J20" s="3">
        <v>105</v>
      </c>
      <c r="K20" s="3">
        <v>99.2</v>
      </c>
      <c r="L20" s="3">
        <v>11</v>
      </c>
      <c r="M20" s="3">
        <v>1580</v>
      </c>
      <c r="N20" s="3">
        <v>4700</v>
      </c>
      <c r="O20" s="3">
        <v>8200</v>
      </c>
      <c r="P20" s="4">
        <v>155000</v>
      </c>
      <c r="Q20" s="3">
        <v>0.14000000000000001</v>
      </c>
      <c r="R20" s="4">
        <v>9300000</v>
      </c>
      <c r="S20" s="4">
        <v>12300000</v>
      </c>
      <c r="T20" s="3">
        <v>5</v>
      </c>
      <c r="U20" s="3">
        <f>data1[[#This Row],[Annual_Operating_Hours]]*data1[[#This Row],[Cost_per_Hour_USD]]</f>
        <v>38540000</v>
      </c>
    </row>
    <row r="21" spans="1:21" x14ac:dyDescent="0.3">
      <c r="A21" s="3" t="s">
        <v>61</v>
      </c>
      <c r="B21" s="3" t="s">
        <v>33</v>
      </c>
      <c r="C21" s="3" t="s">
        <v>34</v>
      </c>
      <c r="D21" s="3" t="s">
        <v>35</v>
      </c>
      <c r="E21" s="1">
        <v>45432</v>
      </c>
      <c r="F21" s="3" t="s">
        <v>30</v>
      </c>
      <c r="G21" s="3" t="s">
        <v>37</v>
      </c>
      <c r="H21" s="3" t="s">
        <v>20</v>
      </c>
      <c r="I21" s="3">
        <v>0.92</v>
      </c>
      <c r="J21" s="3">
        <v>115</v>
      </c>
      <c r="K21" s="3">
        <v>98.9</v>
      </c>
      <c r="L21" s="3">
        <v>14</v>
      </c>
      <c r="M21" s="3">
        <v>920</v>
      </c>
      <c r="N21" s="3">
        <v>3280</v>
      </c>
      <c r="O21" s="3">
        <v>6000</v>
      </c>
      <c r="P21" s="4">
        <v>135000</v>
      </c>
      <c r="Q21" s="3">
        <v>0.16</v>
      </c>
      <c r="R21" s="4">
        <v>7400000</v>
      </c>
      <c r="S21" s="4">
        <v>9200000</v>
      </c>
      <c r="T21" s="3">
        <v>4</v>
      </c>
      <c r="U21" s="3">
        <f>data1[[#This Row],[Annual_Operating_Hours]]*data1[[#This Row],[Cost_per_Hour_USD]]</f>
        <v>19680000</v>
      </c>
    </row>
    <row r="22" spans="1:21" x14ac:dyDescent="0.3">
      <c r="A22" s="3" t="s">
        <v>62</v>
      </c>
      <c r="B22" s="3" t="s">
        <v>15</v>
      </c>
      <c r="C22" s="3" t="s">
        <v>16</v>
      </c>
      <c r="D22" s="3" t="s">
        <v>17</v>
      </c>
      <c r="E22" s="1">
        <v>45444</v>
      </c>
      <c r="F22" s="3" t="s">
        <v>36</v>
      </c>
      <c r="G22" s="3" t="s">
        <v>19</v>
      </c>
      <c r="H22" s="3" t="s">
        <v>20</v>
      </c>
      <c r="I22" s="3">
        <v>0.92</v>
      </c>
      <c r="J22" s="3">
        <v>175</v>
      </c>
      <c r="K22" s="3">
        <v>98.8</v>
      </c>
      <c r="L22" s="3">
        <v>12</v>
      </c>
      <c r="M22" s="3">
        <v>440</v>
      </c>
      <c r="N22" s="3">
        <v>1880</v>
      </c>
      <c r="O22" s="3">
        <v>2250</v>
      </c>
      <c r="P22" s="4">
        <v>89000</v>
      </c>
      <c r="Q22" s="3">
        <v>0.18</v>
      </c>
      <c r="R22" s="4">
        <v>4250000</v>
      </c>
      <c r="S22" s="4">
        <v>2850000</v>
      </c>
      <c r="T22" s="3">
        <v>4</v>
      </c>
      <c r="U22" s="3">
        <f>data1[[#This Row],[Annual_Operating_Hours]]*data1[[#This Row],[Cost_per_Hour_USD]]</f>
        <v>4230000</v>
      </c>
    </row>
    <row r="23" spans="1:21" x14ac:dyDescent="0.3">
      <c r="A23" s="3" t="s">
        <v>63</v>
      </c>
      <c r="B23" s="3" t="s">
        <v>39</v>
      </c>
      <c r="C23" s="3" t="s">
        <v>22</v>
      </c>
      <c r="D23" s="3" t="s">
        <v>40</v>
      </c>
      <c r="E23" s="1">
        <v>45453</v>
      </c>
      <c r="F23" s="3" t="s">
        <v>24</v>
      </c>
      <c r="G23" s="3" t="s">
        <v>41</v>
      </c>
      <c r="H23" s="3" t="s">
        <v>26</v>
      </c>
      <c r="I23" s="3">
        <v>0.84</v>
      </c>
      <c r="J23" s="3">
        <v>270</v>
      </c>
      <c r="K23" s="3">
        <v>95.8</v>
      </c>
      <c r="L23" s="3">
        <v>25</v>
      </c>
      <c r="M23" s="3">
        <v>700</v>
      </c>
      <c r="N23" s="3">
        <v>1850</v>
      </c>
      <c r="O23" s="3">
        <v>2600</v>
      </c>
      <c r="P23" s="4">
        <v>140000</v>
      </c>
      <c r="Q23" s="3">
        <v>0.18</v>
      </c>
      <c r="R23" s="4">
        <v>5400000</v>
      </c>
      <c r="S23" s="4">
        <v>3900000</v>
      </c>
      <c r="T23" s="3">
        <v>5</v>
      </c>
      <c r="U23" s="3">
        <f>data1[[#This Row],[Annual_Operating_Hours]]*data1[[#This Row],[Cost_per_Hour_USD]]</f>
        <v>4810000</v>
      </c>
    </row>
    <row r="24" spans="1:21" x14ac:dyDescent="0.3">
      <c r="A24" s="3" t="s">
        <v>64</v>
      </c>
      <c r="B24" s="3" t="s">
        <v>28</v>
      </c>
      <c r="C24" s="3" t="s">
        <v>45</v>
      </c>
      <c r="D24" s="3" t="s">
        <v>29</v>
      </c>
      <c r="E24" s="1">
        <v>45461</v>
      </c>
      <c r="F24" s="3" t="s">
        <v>18</v>
      </c>
      <c r="G24" s="3" t="s">
        <v>46</v>
      </c>
      <c r="H24" s="3" t="s">
        <v>43</v>
      </c>
      <c r="I24" s="3">
        <v>0.97</v>
      </c>
      <c r="J24" s="3">
        <v>88</v>
      </c>
      <c r="K24" s="3">
        <v>99.7</v>
      </c>
      <c r="L24" s="3">
        <v>8</v>
      </c>
      <c r="M24" s="3">
        <v>1620</v>
      </c>
      <c r="N24" s="3">
        <v>4850</v>
      </c>
      <c r="O24" s="3">
        <v>8250</v>
      </c>
      <c r="P24" s="4">
        <v>165000</v>
      </c>
      <c r="Q24" s="3">
        <v>0.14000000000000001</v>
      </c>
      <c r="R24" s="4">
        <v>9500000</v>
      </c>
      <c r="S24" s="4">
        <v>12800000</v>
      </c>
      <c r="T24" s="3">
        <v>5</v>
      </c>
      <c r="U24" s="3">
        <f>data1[[#This Row],[Annual_Operating_Hours]]*data1[[#This Row],[Cost_per_Hour_USD]]</f>
        <v>40012500</v>
      </c>
    </row>
    <row r="25" spans="1:21" x14ac:dyDescent="0.3">
      <c r="A25" s="3" t="s">
        <v>65</v>
      </c>
      <c r="B25" s="3" t="s">
        <v>33</v>
      </c>
      <c r="C25" s="3" t="s">
        <v>34</v>
      </c>
      <c r="D25" s="3" t="s">
        <v>35</v>
      </c>
      <c r="E25" s="1">
        <v>45468</v>
      </c>
      <c r="F25" s="3" t="s">
        <v>36</v>
      </c>
      <c r="G25" s="3" t="s">
        <v>37</v>
      </c>
      <c r="H25" s="3" t="s">
        <v>20</v>
      </c>
      <c r="I25" s="3">
        <v>0.91</v>
      </c>
      <c r="J25" s="3">
        <v>125</v>
      </c>
      <c r="K25" s="3">
        <v>98.4</v>
      </c>
      <c r="L25" s="3">
        <v>15</v>
      </c>
      <c r="M25" s="3">
        <v>905</v>
      </c>
      <c r="N25" s="3">
        <v>3220</v>
      </c>
      <c r="O25" s="3">
        <v>6100</v>
      </c>
      <c r="P25" s="4">
        <v>133000</v>
      </c>
      <c r="Q25" s="3">
        <v>0.16</v>
      </c>
      <c r="R25" s="4">
        <v>7350000</v>
      </c>
      <c r="S25" s="4">
        <v>9150000</v>
      </c>
      <c r="T25" s="3">
        <v>4</v>
      </c>
      <c r="U25" s="3">
        <f>data1[[#This Row],[Annual_Operating_Hours]]*data1[[#This Row],[Cost_per_Hour_USD]]</f>
        <v>19642000</v>
      </c>
    </row>
    <row r="26" spans="1:21" x14ac:dyDescent="0.3">
      <c r="A26" s="3" t="s">
        <v>66</v>
      </c>
      <c r="B26" s="3" t="s">
        <v>15</v>
      </c>
      <c r="C26" s="3" t="s">
        <v>22</v>
      </c>
      <c r="D26" s="3" t="s">
        <v>23</v>
      </c>
      <c r="E26" s="1">
        <v>45476</v>
      </c>
      <c r="F26" s="3" t="s">
        <v>30</v>
      </c>
      <c r="G26" s="3" t="s">
        <v>25</v>
      </c>
      <c r="H26" s="3" t="s">
        <v>26</v>
      </c>
      <c r="I26" s="3">
        <v>0.87</v>
      </c>
      <c r="J26" s="3">
        <v>255</v>
      </c>
      <c r="K26" s="3">
        <v>96.6</v>
      </c>
      <c r="L26" s="3">
        <v>21</v>
      </c>
      <c r="M26" s="3">
        <v>530</v>
      </c>
      <c r="N26" s="3">
        <v>2180</v>
      </c>
      <c r="O26" s="3">
        <v>2450</v>
      </c>
      <c r="P26" s="4">
        <v>126000</v>
      </c>
      <c r="Q26" s="3">
        <v>0.18</v>
      </c>
      <c r="R26" s="4">
        <v>5150000</v>
      </c>
      <c r="S26" s="4">
        <v>3550000</v>
      </c>
      <c r="T26" s="3">
        <v>5</v>
      </c>
      <c r="U26" s="3">
        <f>data1[[#This Row],[Annual_Operating_Hours]]*data1[[#This Row],[Cost_per_Hour_USD]]</f>
        <v>5341000</v>
      </c>
    </row>
    <row r="27" spans="1:21" x14ac:dyDescent="0.3">
      <c r="A27" s="3" t="s">
        <v>67</v>
      </c>
      <c r="B27" s="3" t="s">
        <v>28</v>
      </c>
      <c r="C27" s="3" t="s">
        <v>16</v>
      </c>
      <c r="D27" s="3" t="s">
        <v>29</v>
      </c>
      <c r="E27" s="1">
        <v>45483</v>
      </c>
      <c r="F27" s="3" t="s">
        <v>24</v>
      </c>
      <c r="G27" s="3" t="s">
        <v>31</v>
      </c>
      <c r="H27" s="3" t="s">
        <v>20</v>
      </c>
      <c r="I27" s="3">
        <v>0.96</v>
      </c>
      <c r="J27" s="3">
        <v>98</v>
      </c>
      <c r="K27" s="3">
        <v>99.6</v>
      </c>
      <c r="L27" s="3">
        <v>9</v>
      </c>
      <c r="M27" s="3">
        <v>1520</v>
      </c>
      <c r="N27" s="3">
        <v>4550</v>
      </c>
      <c r="O27" s="3">
        <v>8100</v>
      </c>
      <c r="P27" s="4">
        <v>152000</v>
      </c>
      <c r="Q27" s="3">
        <v>0.14000000000000001</v>
      </c>
      <c r="R27" s="4">
        <v>9050000</v>
      </c>
      <c r="S27" s="4">
        <v>12100000</v>
      </c>
      <c r="T27" s="3">
        <v>5</v>
      </c>
      <c r="U27" s="3">
        <f>data1[[#This Row],[Annual_Operating_Hours]]*data1[[#This Row],[Cost_per_Hour_USD]]</f>
        <v>36855000</v>
      </c>
    </row>
    <row r="28" spans="1:21" x14ac:dyDescent="0.3">
      <c r="A28" s="3" t="s">
        <v>68</v>
      </c>
      <c r="B28" s="3" t="s">
        <v>39</v>
      </c>
      <c r="C28" s="3" t="s">
        <v>50</v>
      </c>
      <c r="D28" s="3" t="s">
        <v>40</v>
      </c>
      <c r="E28" s="1">
        <v>45488</v>
      </c>
      <c r="F28" s="3" t="s">
        <v>36</v>
      </c>
      <c r="G28" s="3" t="s">
        <v>51</v>
      </c>
      <c r="H28" s="3" t="s">
        <v>43</v>
      </c>
      <c r="I28" s="3">
        <v>0.94</v>
      </c>
      <c r="J28" s="3">
        <v>190</v>
      </c>
      <c r="K28" s="3">
        <v>99.1</v>
      </c>
      <c r="L28" s="3">
        <v>12</v>
      </c>
      <c r="M28" s="3">
        <v>620</v>
      </c>
      <c r="N28" s="3">
        <v>1740</v>
      </c>
      <c r="O28" s="3">
        <v>2150</v>
      </c>
      <c r="P28" s="4">
        <v>88000</v>
      </c>
      <c r="Q28" s="3">
        <v>0.17</v>
      </c>
      <c r="R28" s="4">
        <v>3750000</v>
      </c>
      <c r="S28" s="4">
        <v>2480000</v>
      </c>
      <c r="T28" s="3">
        <v>3</v>
      </c>
      <c r="U28" s="3">
        <f>data1[[#This Row],[Annual_Operating_Hours]]*data1[[#This Row],[Cost_per_Hour_USD]]</f>
        <v>3741000</v>
      </c>
    </row>
    <row r="29" spans="1:21" x14ac:dyDescent="0.3">
      <c r="A29" s="3" t="s">
        <v>69</v>
      </c>
      <c r="B29" s="3" t="s">
        <v>33</v>
      </c>
      <c r="C29" s="3" t="s">
        <v>34</v>
      </c>
      <c r="D29" s="3" t="s">
        <v>35</v>
      </c>
      <c r="E29" s="1">
        <v>45493</v>
      </c>
      <c r="F29" s="3" t="s">
        <v>18</v>
      </c>
      <c r="G29" s="3" t="s">
        <v>37</v>
      </c>
      <c r="H29" s="3" t="s">
        <v>26</v>
      </c>
      <c r="I29" s="3">
        <v>0.9</v>
      </c>
      <c r="J29" s="3">
        <v>140</v>
      </c>
      <c r="K29" s="3">
        <v>98</v>
      </c>
      <c r="L29" s="3">
        <v>18</v>
      </c>
      <c r="M29" s="3">
        <v>950</v>
      </c>
      <c r="N29" s="3">
        <v>3340</v>
      </c>
      <c r="O29" s="3">
        <v>6200</v>
      </c>
      <c r="P29" s="4">
        <v>138000</v>
      </c>
      <c r="Q29" s="3">
        <v>0.16</v>
      </c>
      <c r="R29" s="4">
        <v>7550000</v>
      </c>
      <c r="S29" s="4">
        <v>9250000</v>
      </c>
      <c r="T29" s="3">
        <v>5</v>
      </c>
      <c r="U29" s="3">
        <f>data1[[#This Row],[Annual_Operating_Hours]]*data1[[#This Row],[Cost_per_Hour_USD]]</f>
        <v>20708000</v>
      </c>
    </row>
    <row r="30" spans="1:21" x14ac:dyDescent="0.3">
      <c r="A30" s="3" t="s">
        <v>70</v>
      </c>
      <c r="B30" s="3" t="s">
        <v>15</v>
      </c>
      <c r="C30" s="3" t="s">
        <v>16</v>
      </c>
      <c r="D30" s="3" t="s">
        <v>17</v>
      </c>
      <c r="E30" s="1">
        <v>45505</v>
      </c>
      <c r="F30" s="3" t="s">
        <v>30</v>
      </c>
      <c r="G30" s="3" t="s">
        <v>19</v>
      </c>
      <c r="H30" s="3" t="s">
        <v>43</v>
      </c>
      <c r="I30" s="3">
        <v>0.95</v>
      </c>
      <c r="J30" s="3">
        <v>165</v>
      </c>
      <c r="K30" s="3">
        <v>99.4</v>
      </c>
      <c r="L30" s="3">
        <v>10</v>
      </c>
      <c r="M30" s="3">
        <v>415</v>
      </c>
      <c r="N30" s="3">
        <v>1800</v>
      </c>
      <c r="O30" s="3">
        <v>2300</v>
      </c>
      <c r="P30" s="4">
        <v>86000</v>
      </c>
      <c r="Q30" s="3">
        <v>0.18</v>
      </c>
      <c r="R30" s="4">
        <v>4150000</v>
      </c>
      <c r="S30" s="4">
        <v>2780000</v>
      </c>
      <c r="T30" s="3">
        <v>4</v>
      </c>
      <c r="U30" s="3">
        <f>data1[[#This Row],[Annual_Operating_Hours]]*data1[[#This Row],[Cost_per_Hour_USD]]</f>
        <v>4140000</v>
      </c>
    </row>
    <row r="31" spans="1:21" x14ac:dyDescent="0.3">
      <c r="A31" s="3" t="s">
        <v>71</v>
      </c>
      <c r="B31" s="3" t="s">
        <v>39</v>
      </c>
      <c r="C31" s="3" t="s">
        <v>22</v>
      </c>
      <c r="D31" s="3" t="s">
        <v>40</v>
      </c>
      <c r="E31" s="1">
        <v>45513</v>
      </c>
      <c r="F31" s="3" t="s">
        <v>24</v>
      </c>
      <c r="G31" s="3" t="s">
        <v>41</v>
      </c>
      <c r="H31" s="3" t="s">
        <v>26</v>
      </c>
      <c r="I31" s="3">
        <v>0.85</v>
      </c>
      <c r="J31" s="3">
        <v>265</v>
      </c>
      <c r="K31" s="3">
        <v>95.9</v>
      </c>
      <c r="L31" s="3">
        <v>24</v>
      </c>
      <c r="M31" s="3">
        <v>690</v>
      </c>
      <c r="N31" s="3">
        <v>1830</v>
      </c>
      <c r="O31" s="3">
        <v>2000</v>
      </c>
      <c r="P31" s="4">
        <v>93000</v>
      </c>
      <c r="Q31" s="3">
        <v>0.17</v>
      </c>
      <c r="R31" s="4">
        <v>3600000</v>
      </c>
      <c r="S31" s="4">
        <v>2550000</v>
      </c>
      <c r="T31" s="3">
        <v>3</v>
      </c>
      <c r="U31" s="3">
        <f>data1[[#This Row],[Annual_Operating_Hours]]*data1[[#This Row],[Cost_per_Hour_USD]]</f>
        <v>3660000</v>
      </c>
    </row>
    <row r="32" spans="1:21" x14ac:dyDescent="0.3">
      <c r="A32" s="3" t="s">
        <v>72</v>
      </c>
      <c r="B32" s="3" t="s">
        <v>28</v>
      </c>
      <c r="C32" s="3" t="s">
        <v>45</v>
      </c>
      <c r="D32" s="3" t="s">
        <v>29</v>
      </c>
      <c r="E32" s="1">
        <v>45522</v>
      </c>
      <c r="F32" s="3" t="s">
        <v>36</v>
      </c>
      <c r="G32" s="3" t="s">
        <v>46</v>
      </c>
      <c r="H32" s="3" t="s">
        <v>43</v>
      </c>
      <c r="I32" s="3">
        <v>0.98</v>
      </c>
      <c r="J32" s="3">
        <v>83</v>
      </c>
      <c r="K32" s="3">
        <v>99.8</v>
      </c>
      <c r="L32" s="3">
        <v>7</v>
      </c>
      <c r="M32" s="3">
        <v>1670</v>
      </c>
      <c r="N32" s="3">
        <v>4950</v>
      </c>
      <c r="O32" s="3">
        <v>8200</v>
      </c>
      <c r="P32" s="4">
        <v>160000</v>
      </c>
      <c r="Q32" s="3">
        <v>0.14000000000000001</v>
      </c>
      <c r="R32" s="4">
        <v>9450000</v>
      </c>
      <c r="S32" s="4">
        <v>12600000</v>
      </c>
      <c r="T32" s="3">
        <v>5</v>
      </c>
      <c r="U32" s="3">
        <f>data1[[#This Row],[Annual_Operating_Hours]]*data1[[#This Row],[Cost_per_Hour_USD]]</f>
        <v>40590000</v>
      </c>
    </row>
    <row r="33" spans="1:21" x14ac:dyDescent="0.3">
      <c r="A33" s="3" t="s">
        <v>73</v>
      </c>
      <c r="B33" s="3" t="s">
        <v>33</v>
      </c>
      <c r="C33" s="3" t="s">
        <v>34</v>
      </c>
      <c r="D33" s="3" t="s">
        <v>35</v>
      </c>
      <c r="E33" s="1">
        <v>45529</v>
      </c>
      <c r="F33" s="3" t="s">
        <v>18</v>
      </c>
      <c r="G33" s="3" t="s">
        <v>37</v>
      </c>
      <c r="H33" s="3" t="s">
        <v>20</v>
      </c>
      <c r="I33" s="3">
        <v>0.91</v>
      </c>
      <c r="J33" s="3">
        <v>135</v>
      </c>
      <c r="K33" s="3">
        <v>98.5</v>
      </c>
      <c r="L33" s="3">
        <v>16</v>
      </c>
      <c r="M33" s="3">
        <v>900</v>
      </c>
      <c r="N33" s="3">
        <v>3260</v>
      </c>
      <c r="O33" s="3">
        <v>6100</v>
      </c>
      <c r="P33" s="4">
        <v>139000</v>
      </c>
      <c r="Q33" s="3">
        <v>0.16</v>
      </c>
      <c r="R33" s="4">
        <v>7400000</v>
      </c>
      <c r="S33" s="4">
        <v>9170000</v>
      </c>
      <c r="T33" s="3">
        <v>4</v>
      </c>
      <c r="U33" s="3">
        <f>data1[[#This Row],[Annual_Operating_Hours]]*data1[[#This Row],[Cost_per_Hour_USD]]</f>
        <v>19886000</v>
      </c>
    </row>
    <row r="34" spans="1:21" x14ac:dyDescent="0.3">
      <c r="A34" s="3" t="s">
        <v>74</v>
      </c>
      <c r="B34" s="3" t="s">
        <v>15</v>
      </c>
      <c r="C34" s="3" t="s">
        <v>22</v>
      </c>
      <c r="D34" s="3" t="s">
        <v>23</v>
      </c>
      <c r="E34" s="1">
        <v>45536</v>
      </c>
      <c r="F34" s="3" t="s">
        <v>30</v>
      </c>
      <c r="G34" s="3" t="s">
        <v>25</v>
      </c>
      <c r="H34" s="3" t="s">
        <v>26</v>
      </c>
      <c r="I34" s="3">
        <v>0.86</v>
      </c>
      <c r="J34" s="3">
        <v>240</v>
      </c>
      <c r="K34" s="3">
        <v>96.4</v>
      </c>
      <c r="L34" s="3">
        <v>22</v>
      </c>
      <c r="M34" s="3">
        <v>525</v>
      </c>
      <c r="N34" s="3">
        <v>2220</v>
      </c>
      <c r="O34" s="3">
        <v>2500</v>
      </c>
      <c r="P34" s="4">
        <v>128000</v>
      </c>
      <c r="Q34" s="3">
        <v>0.18</v>
      </c>
      <c r="R34" s="4">
        <v>5250000</v>
      </c>
      <c r="S34" s="4">
        <v>3650000</v>
      </c>
      <c r="T34" s="3">
        <v>5</v>
      </c>
      <c r="U34" s="3">
        <f>data1[[#This Row],[Annual_Operating_Hours]]*data1[[#This Row],[Cost_per_Hour_USD]]</f>
        <v>5550000</v>
      </c>
    </row>
    <row r="35" spans="1:21" x14ac:dyDescent="0.3">
      <c r="A35" s="3" t="s">
        <v>75</v>
      </c>
      <c r="B35" s="3" t="s">
        <v>39</v>
      </c>
      <c r="C35" s="3" t="s">
        <v>50</v>
      </c>
      <c r="D35" s="3" t="s">
        <v>40</v>
      </c>
      <c r="E35" s="1">
        <v>45544</v>
      </c>
      <c r="F35" s="3" t="s">
        <v>36</v>
      </c>
      <c r="G35" s="3" t="s">
        <v>51</v>
      </c>
      <c r="H35" s="3" t="s">
        <v>43</v>
      </c>
      <c r="I35" s="3">
        <v>0.92</v>
      </c>
      <c r="J35" s="3">
        <v>205</v>
      </c>
      <c r="K35" s="3">
        <v>98.8</v>
      </c>
      <c r="L35" s="3">
        <v>15</v>
      </c>
      <c r="M35" s="3">
        <v>615</v>
      </c>
      <c r="N35" s="3">
        <v>1710</v>
      </c>
      <c r="O35" s="3">
        <v>2100</v>
      </c>
      <c r="P35" s="4">
        <v>89000</v>
      </c>
      <c r="Q35" s="3">
        <v>0.17</v>
      </c>
      <c r="R35" s="4">
        <v>3800000</v>
      </c>
      <c r="S35" s="4">
        <v>2520000</v>
      </c>
      <c r="T35" s="3">
        <v>3</v>
      </c>
      <c r="U35" s="3">
        <f>data1[[#This Row],[Annual_Operating_Hours]]*data1[[#This Row],[Cost_per_Hour_USD]]</f>
        <v>3591000</v>
      </c>
    </row>
    <row r="36" spans="1:21" x14ac:dyDescent="0.3">
      <c r="A36" s="3" t="s">
        <v>76</v>
      </c>
      <c r="B36" s="3" t="s">
        <v>28</v>
      </c>
      <c r="C36" s="3" t="s">
        <v>16</v>
      </c>
      <c r="D36" s="3" t="s">
        <v>29</v>
      </c>
      <c r="E36" s="1">
        <v>45552</v>
      </c>
      <c r="F36" s="3" t="s">
        <v>18</v>
      </c>
      <c r="G36" s="3" t="s">
        <v>31</v>
      </c>
      <c r="H36" s="3" t="s">
        <v>20</v>
      </c>
      <c r="I36" s="3">
        <v>0.95</v>
      </c>
      <c r="J36" s="3">
        <v>90</v>
      </c>
      <c r="K36" s="3">
        <v>99.5</v>
      </c>
      <c r="L36" s="3">
        <v>9</v>
      </c>
      <c r="M36" s="3">
        <v>1560</v>
      </c>
      <c r="N36" s="3">
        <v>4650</v>
      </c>
      <c r="O36" s="3">
        <v>8300</v>
      </c>
      <c r="P36" s="4">
        <v>158000</v>
      </c>
      <c r="Q36" s="3">
        <v>0.14000000000000001</v>
      </c>
      <c r="R36" s="4">
        <v>9150000</v>
      </c>
      <c r="S36" s="4">
        <v>12400000</v>
      </c>
      <c r="T36" s="3">
        <v>5</v>
      </c>
      <c r="U36" s="3">
        <f>data1[[#This Row],[Annual_Operating_Hours]]*data1[[#This Row],[Cost_per_Hour_USD]]</f>
        <v>38595000</v>
      </c>
    </row>
    <row r="37" spans="1:21" x14ac:dyDescent="0.3">
      <c r="A37" s="3" t="s">
        <v>77</v>
      </c>
      <c r="B37" s="3" t="s">
        <v>33</v>
      </c>
      <c r="C37" s="3" t="s">
        <v>34</v>
      </c>
      <c r="D37" s="3" t="s">
        <v>35</v>
      </c>
      <c r="E37" s="1">
        <v>45560</v>
      </c>
      <c r="F37" s="3" t="s">
        <v>24</v>
      </c>
      <c r="G37" s="3" t="s">
        <v>37</v>
      </c>
      <c r="H37" s="3" t="s">
        <v>26</v>
      </c>
      <c r="I37" s="3">
        <v>0.89</v>
      </c>
      <c r="J37" s="3">
        <v>155</v>
      </c>
      <c r="K37" s="3">
        <v>97.6</v>
      </c>
      <c r="L37" s="3">
        <v>19</v>
      </c>
      <c r="M37" s="3">
        <v>970</v>
      </c>
      <c r="N37" s="3">
        <v>3380</v>
      </c>
      <c r="O37" s="3">
        <v>6350</v>
      </c>
      <c r="P37" s="4">
        <v>143000</v>
      </c>
      <c r="Q37" s="3">
        <v>0.16</v>
      </c>
      <c r="R37" s="4">
        <v>7600000</v>
      </c>
      <c r="S37" s="4">
        <v>9400000</v>
      </c>
      <c r="T37" s="3">
        <v>5</v>
      </c>
      <c r="U37" s="3">
        <f>data1[[#This Row],[Annual_Operating_Hours]]*data1[[#This Row],[Cost_per_Hour_USD]]</f>
        <v>21463000</v>
      </c>
    </row>
    <row r="38" spans="1:21" x14ac:dyDescent="0.3">
      <c r="A38" s="3" t="s">
        <v>78</v>
      </c>
      <c r="B38" s="3" t="s">
        <v>15</v>
      </c>
      <c r="C38" s="3" t="s">
        <v>16</v>
      </c>
      <c r="D38" s="3" t="s">
        <v>17</v>
      </c>
      <c r="E38" s="1">
        <v>45568</v>
      </c>
      <c r="F38" s="3" t="s">
        <v>36</v>
      </c>
      <c r="G38" s="3" t="s">
        <v>19</v>
      </c>
      <c r="H38" s="3" t="s">
        <v>20</v>
      </c>
      <c r="I38" s="3">
        <v>0.93</v>
      </c>
      <c r="J38" s="3">
        <v>185</v>
      </c>
      <c r="K38" s="3">
        <v>98.9</v>
      </c>
      <c r="L38" s="3">
        <v>11</v>
      </c>
      <c r="M38" s="3">
        <v>435</v>
      </c>
      <c r="N38" s="3">
        <v>1870</v>
      </c>
      <c r="O38" s="3">
        <v>2250</v>
      </c>
      <c r="P38" s="4">
        <v>91000</v>
      </c>
      <c r="Q38" s="3">
        <v>0.18</v>
      </c>
      <c r="R38" s="4">
        <v>4300000</v>
      </c>
      <c r="S38" s="4">
        <v>2850000</v>
      </c>
      <c r="T38" s="3">
        <v>4</v>
      </c>
      <c r="U38" s="3">
        <f>data1[[#This Row],[Annual_Operating_Hours]]*data1[[#This Row],[Cost_per_Hour_USD]]</f>
        <v>4207500</v>
      </c>
    </row>
    <row r="39" spans="1:21" x14ac:dyDescent="0.3">
      <c r="A39" s="3" t="s">
        <v>79</v>
      </c>
      <c r="B39" s="3" t="s">
        <v>39</v>
      </c>
      <c r="C39" s="3" t="s">
        <v>22</v>
      </c>
      <c r="D39" s="3" t="s">
        <v>40</v>
      </c>
      <c r="E39" s="1">
        <v>45576</v>
      </c>
      <c r="F39" s="3" t="s">
        <v>30</v>
      </c>
      <c r="G39" s="3" t="s">
        <v>41</v>
      </c>
      <c r="H39" s="3" t="s">
        <v>20</v>
      </c>
      <c r="I39" s="3">
        <v>0.88</v>
      </c>
      <c r="J39" s="3">
        <v>250</v>
      </c>
      <c r="K39" s="3">
        <v>97.3</v>
      </c>
      <c r="L39" s="3">
        <v>20</v>
      </c>
      <c r="M39" s="3">
        <v>660</v>
      </c>
      <c r="N39" s="3">
        <v>1790</v>
      </c>
      <c r="O39" s="3">
        <v>2050</v>
      </c>
      <c r="P39" s="4">
        <v>97000</v>
      </c>
      <c r="Q39" s="3">
        <v>0.17</v>
      </c>
      <c r="R39" s="4">
        <v>3850000</v>
      </c>
      <c r="S39" s="4">
        <v>2650000</v>
      </c>
      <c r="T39" s="3">
        <v>3</v>
      </c>
      <c r="U39" s="3">
        <f>data1[[#This Row],[Annual_Operating_Hours]]*data1[[#This Row],[Cost_per_Hour_USD]]</f>
        <v>3669500</v>
      </c>
    </row>
    <row r="40" spans="1:21" x14ac:dyDescent="0.3">
      <c r="A40" s="3" t="s">
        <v>80</v>
      </c>
      <c r="B40" s="3" t="s">
        <v>28</v>
      </c>
      <c r="C40" s="3" t="s">
        <v>45</v>
      </c>
      <c r="D40" s="3" t="s">
        <v>29</v>
      </c>
      <c r="E40" s="1">
        <v>45583</v>
      </c>
      <c r="F40" s="3" t="s">
        <v>24</v>
      </c>
      <c r="G40" s="3" t="s">
        <v>46</v>
      </c>
      <c r="H40" s="3" t="s">
        <v>43</v>
      </c>
      <c r="I40" s="3">
        <v>0.97</v>
      </c>
      <c r="J40" s="3">
        <v>89</v>
      </c>
      <c r="K40" s="3">
        <v>99.7</v>
      </c>
      <c r="L40" s="3">
        <v>8</v>
      </c>
      <c r="M40" s="3">
        <v>1640</v>
      </c>
      <c r="N40" s="3">
        <v>4870</v>
      </c>
      <c r="O40" s="3">
        <v>8450</v>
      </c>
      <c r="P40" s="4">
        <v>172000</v>
      </c>
      <c r="Q40" s="3">
        <v>0.14000000000000001</v>
      </c>
      <c r="R40" s="4">
        <v>9700000</v>
      </c>
      <c r="S40" s="4">
        <v>13200000</v>
      </c>
      <c r="T40" s="3">
        <v>5</v>
      </c>
      <c r="U40" s="3">
        <f>data1[[#This Row],[Annual_Operating_Hours]]*data1[[#This Row],[Cost_per_Hour_USD]]</f>
        <v>41151500</v>
      </c>
    </row>
    <row r="41" spans="1:21" x14ac:dyDescent="0.3">
      <c r="A41" s="3" t="s">
        <v>81</v>
      </c>
      <c r="B41" s="3" t="s">
        <v>33</v>
      </c>
      <c r="C41" s="3" t="s">
        <v>34</v>
      </c>
      <c r="D41" s="3" t="s">
        <v>35</v>
      </c>
      <c r="E41" s="1">
        <v>45591</v>
      </c>
      <c r="F41" s="3" t="s">
        <v>18</v>
      </c>
      <c r="G41" s="3" t="s">
        <v>37</v>
      </c>
      <c r="H41" s="3" t="s">
        <v>20</v>
      </c>
      <c r="I41" s="3">
        <v>0.9</v>
      </c>
      <c r="J41" s="3">
        <v>128</v>
      </c>
      <c r="K41" s="3">
        <v>98.2</v>
      </c>
      <c r="L41" s="3">
        <v>17</v>
      </c>
      <c r="M41" s="3">
        <v>925</v>
      </c>
      <c r="N41" s="3">
        <v>3240</v>
      </c>
      <c r="O41" s="3">
        <v>6250</v>
      </c>
      <c r="P41" s="4">
        <v>140000</v>
      </c>
      <c r="Q41" s="3">
        <v>0.16</v>
      </c>
      <c r="R41" s="4">
        <v>7500000</v>
      </c>
      <c r="S41" s="4">
        <v>9300000</v>
      </c>
      <c r="T41" s="3">
        <v>5</v>
      </c>
      <c r="U41" s="3">
        <f>data1[[#This Row],[Annual_Operating_Hours]]*data1[[#This Row],[Cost_per_Hour_USD]]</f>
        <v>20250000</v>
      </c>
    </row>
    <row r="42" spans="1:21" x14ac:dyDescent="0.3">
      <c r="A42" s="3" t="s">
        <v>82</v>
      </c>
      <c r="B42" s="3" t="s">
        <v>15</v>
      </c>
      <c r="C42" s="3" t="s">
        <v>22</v>
      </c>
      <c r="D42" s="3" t="s">
        <v>23</v>
      </c>
      <c r="E42" s="1">
        <v>45599</v>
      </c>
      <c r="F42" s="3" t="s">
        <v>36</v>
      </c>
      <c r="G42" s="3" t="s">
        <v>25</v>
      </c>
      <c r="H42" s="3" t="s">
        <v>26</v>
      </c>
      <c r="I42" s="3">
        <v>0.85</v>
      </c>
      <c r="J42" s="3">
        <v>260</v>
      </c>
      <c r="K42" s="3">
        <v>96</v>
      </c>
      <c r="L42" s="3">
        <v>23</v>
      </c>
      <c r="M42" s="3">
        <v>540</v>
      </c>
      <c r="N42" s="3">
        <v>2250</v>
      </c>
      <c r="O42" s="3">
        <v>2600</v>
      </c>
      <c r="P42" s="4">
        <v>135000</v>
      </c>
      <c r="Q42" s="3">
        <v>0.18</v>
      </c>
      <c r="R42" s="4">
        <v>5400000</v>
      </c>
      <c r="S42" s="4">
        <v>3750000</v>
      </c>
      <c r="T42" s="3">
        <v>5</v>
      </c>
      <c r="U42" s="3">
        <f>data1[[#This Row],[Annual_Operating_Hours]]*data1[[#This Row],[Cost_per_Hour_USD]]</f>
        <v>5850000</v>
      </c>
    </row>
    <row r="43" spans="1:21" x14ac:dyDescent="0.3">
      <c r="A43" s="3" t="s">
        <v>83</v>
      </c>
      <c r="B43" s="3" t="s">
        <v>39</v>
      </c>
      <c r="C43" s="3" t="s">
        <v>50</v>
      </c>
      <c r="D43" s="3" t="s">
        <v>40</v>
      </c>
      <c r="E43" s="1">
        <v>45606</v>
      </c>
      <c r="F43" s="3" t="s">
        <v>24</v>
      </c>
      <c r="G43" s="3" t="s">
        <v>51</v>
      </c>
      <c r="H43" s="3" t="s">
        <v>43</v>
      </c>
      <c r="I43" s="3">
        <v>0.91</v>
      </c>
      <c r="J43" s="3">
        <v>210</v>
      </c>
      <c r="K43" s="3">
        <v>98.7</v>
      </c>
      <c r="L43" s="3">
        <v>14</v>
      </c>
      <c r="M43" s="3">
        <v>605</v>
      </c>
      <c r="N43" s="3">
        <v>1690</v>
      </c>
      <c r="O43" s="3">
        <v>2200</v>
      </c>
      <c r="P43" s="4">
        <v>87000</v>
      </c>
      <c r="Q43" s="3">
        <v>0.17</v>
      </c>
      <c r="R43" s="4">
        <v>3920000</v>
      </c>
      <c r="S43" s="4">
        <v>2580000</v>
      </c>
      <c r="T43" s="3">
        <v>3</v>
      </c>
      <c r="U43" s="3">
        <f>data1[[#This Row],[Annual_Operating_Hours]]*data1[[#This Row],[Cost_per_Hour_USD]]</f>
        <v>3718000</v>
      </c>
    </row>
    <row r="44" spans="1:21" x14ac:dyDescent="0.3">
      <c r="A44" s="3" t="s">
        <v>84</v>
      </c>
      <c r="B44" s="3" t="s">
        <v>28</v>
      </c>
      <c r="C44" s="3" t="s">
        <v>16</v>
      </c>
      <c r="D44" s="3" t="s">
        <v>29</v>
      </c>
      <c r="E44" s="1">
        <v>45614</v>
      </c>
      <c r="F44" s="3" t="s">
        <v>30</v>
      </c>
      <c r="G44" s="3" t="s">
        <v>31</v>
      </c>
      <c r="H44" s="3" t="s">
        <v>20</v>
      </c>
      <c r="I44" s="3">
        <v>0.96</v>
      </c>
      <c r="J44" s="3">
        <v>94</v>
      </c>
      <c r="K44" s="3">
        <v>99.6</v>
      </c>
      <c r="L44" s="3">
        <v>10</v>
      </c>
      <c r="M44" s="3">
        <v>1570</v>
      </c>
      <c r="N44" s="3">
        <v>4680</v>
      </c>
      <c r="O44" s="3">
        <v>8250</v>
      </c>
      <c r="P44" s="4">
        <v>150000</v>
      </c>
      <c r="Q44" s="3">
        <v>0.14000000000000001</v>
      </c>
      <c r="R44" s="4">
        <v>9050000</v>
      </c>
      <c r="S44" s="4">
        <v>12000000</v>
      </c>
      <c r="T44" s="3">
        <v>5</v>
      </c>
      <c r="U44" s="3">
        <f>data1[[#This Row],[Annual_Operating_Hours]]*data1[[#This Row],[Cost_per_Hour_USD]]</f>
        <v>38610000</v>
      </c>
    </row>
    <row r="45" spans="1:21" x14ac:dyDescent="0.3">
      <c r="A45" s="3" t="s">
        <v>85</v>
      </c>
      <c r="B45" s="3" t="s">
        <v>33</v>
      </c>
      <c r="C45" s="3" t="s">
        <v>34</v>
      </c>
      <c r="D45" s="3" t="s">
        <v>35</v>
      </c>
      <c r="E45" s="1">
        <v>45622</v>
      </c>
      <c r="F45" s="3" t="s">
        <v>36</v>
      </c>
      <c r="G45" s="3" t="s">
        <v>37</v>
      </c>
      <c r="H45" s="3" t="s">
        <v>26</v>
      </c>
      <c r="I45" s="3">
        <v>0.88</v>
      </c>
      <c r="J45" s="3">
        <v>150</v>
      </c>
      <c r="K45" s="3">
        <v>97.7</v>
      </c>
      <c r="L45" s="3">
        <v>20</v>
      </c>
      <c r="M45" s="3">
        <v>935</v>
      </c>
      <c r="N45" s="3">
        <v>3300</v>
      </c>
      <c r="O45" s="3">
        <v>6150</v>
      </c>
      <c r="P45" s="4">
        <v>137000</v>
      </c>
      <c r="Q45" s="3">
        <v>0.16</v>
      </c>
      <c r="R45" s="4">
        <v>7400000</v>
      </c>
      <c r="S45" s="4">
        <v>9150000</v>
      </c>
      <c r="T45" s="3">
        <v>4</v>
      </c>
      <c r="U45" s="3">
        <f>data1[[#This Row],[Annual_Operating_Hours]]*data1[[#This Row],[Cost_per_Hour_USD]]</f>
        <v>20295000</v>
      </c>
    </row>
    <row r="46" spans="1:21" x14ac:dyDescent="0.3">
      <c r="A46" s="3" t="s">
        <v>86</v>
      </c>
      <c r="B46" s="3" t="s">
        <v>15</v>
      </c>
      <c r="C46" s="3" t="s">
        <v>16</v>
      </c>
      <c r="D46" s="3" t="s">
        <v>17</v>
      </c>
      <c r="E46" s="1">
        <v>45628</v>
      </c>
      <c r="F46" s="3" t="s">
        <v>18</v>
      </c>
      <c r="G46" s="3" t="s">
        <v>19</v>
      </c>
      <c r="H46" s="3" t="s">
        <v>43</v>
      </c>
      <c r="I46" s="3">
        <v>0.94</v>
      </c>
      <c r="J46" s="3">
        <v>170</v>
      </c>
      <c r="K46" s="3">
        <v>99.3</v>
      </c>
      <c r="L46" s="3">
        <v>12</v>
      </c>
      <c r="M46" s="3">
        <v>425</v>
      </c>
      <c r="N46" s="3">
        <v>1830</v>
      </c>
      <c r="O46" s="3">
        <v>2280</v>
      </c>
      <c r="P46" s="4">
        <v>89000</v>
      </c>
      <c r="Q46" s="3">
        <v>0.18</v>
      </c>
      <c r="R46" s="4">
        <v>4250000</v>
      </c>
      <c r="S46" s="4">
        <v>2810000</v>
      </c>
      <c r="T46" s="3">
        <v>4</v>
      </c>
      <c r="U46" s="3">
        <f>data1[[#This Row],[Annual_Operating_Hours]]*data1[[#This Row],[Cost_per_Hour_USD]]</f>
        <v>4172400</v>
      </c>
    </row>
    <row r="47" spans="1:21" x14ac:dyDescent="0.3">
      <c r="A47" s="3" t="s">
        <v>87</v>
      </c>
      <c r="B47" s="3" t="s">
        <v>39</v>
      </c>
      <c r="C47" s="3" t="s">
        <v>22</v>
      </c>
      <c r="D47" s="3" t="s">
        <v>40</v>
      </c>
      <c r="E47" s="1">
        <v>45636</v>
      </c>
      <c r="F47" s="3" t="s">
        <v>30</v>
      </c>
      <c r="G47" s="3" t="s">
        <v>41</v>
      </c>
      <c r="H47" s="3" t="s">
        <v>26</v>
      </c>
      <c r="I47" s="3">
        <v>0.84</v>
      </c>
      <c r="J47" s="3">
        <v>275</v>
      </c>
      <c r="K47" s="3">
        <v>95.5</v>
      </c>
      <c r="L47" s="3">
        <v>26</v>
      </c>
      <c r="M47" s="3">
        <v>710</v>
      </c>
      <c r="N47" s="3">
        <v>1880</v>
      </c>
      <c r="O47" s="3">
        <v>2700</v>
      </c>
      <c r="P47" s="4">
        <v>142000</v>
      </c>
      <c r="Q47" s="3">
        <v>0.18</v>
      </c>
      <c r="R47" s="4">
        <v>5500000</v>
      </c>
      <c r="S47" s="4">
        <v>3950000</v>
      </c>
      <c r="T47" s="3">
        <v>5</v>
      </c>
      <c r="U47" s="3">
        <f>data1[[#This Row],[Annual_Operating_Hours]]*data1[[#This Row],[Cost_per_Hour_USD]]</f>
        <v>5076000</v>
      </c>
    </row>
    <row r="48" spans="1:21" x14ac:dyDescent="0.3">
      <c r="A48" s="3" t="s">
        <v>88</v>
      </c>
      <c r="B48" s="3" t="s">
        <v>28</v>
      </c>
      <c r="C48" s="3" t="s">
        <v>45</v>
      </c>
      <c r="D48" s="3" t="s">
        <v>29</v>
      </c>
      <c r="E48" s="1">
        <v>45644</v>
      </c>
      <c r="F48" s="3" t="s">
        <v>24</v>
      </c>
      <c r="G48" s="3" t="s">
        <v>46</v>
      </c>
      <c r="H48" s="3" t="s">
        <v>43</v>
      </c>
      <c r="I48" s="3">
        <v>0.97</v>
      </c>
      <c r="J48" s="3">
        <v>87</v>
      </c>
      <c r="K48" s="3">
        <v>99.8</v>
      </c>
      <c r="L48" s="3">
        <v>6</v>
      </c>
      <c r="M48" s="3">
        <v>1660</v>
      </c>
      <c r="N48" s="3">
        <v>4930</v>
      </c>
      <c r="O48" s="3">
        <v>8400</v>
      </c>
      <c r="P48" s="4">
        <v>165000</v>
      </c>
      <c r="Q48" s="3">
        <v>0.14000000000000001</v>
      </c>
      <c r="R48" s="4">
        <v>9550000</v>
      </c>
      <c r="S48" s="4">
        <v>12900000</v>
      </c>
      <c r="T48" s="3">
        <v>5</v>
      </c>
      <c r="U48" s="3">
        <f>data1[[#This Row],[Annual_Operating_Hours]]*data1[[#This Row],[Cost_per_Hour_USD]]</f>
        <v>41412000</v>
      </c>
    </row>
    <row r="49" spans="1:21" x14ac:dyDescent="0.3">
      <c r="A49" s="3" t="s">
        <v>89</v>
      </c>
      <c r="B49" s="3" t="s">
        <v>33</v>
      </c>
      <c r="C49" s="3" t="s">
        <v>34</v>
      </c>
      <c r="D49" s="3" t="s">
        <v>35</v>
      </c>
      <c r="E49" s="1">
        <v>45651</v>
      </c>
      <c r="F49" s="3" t="s">
        <v>18</v>
      </c>
      <c r="G49" s="3" t="s">
        <v>37</v>
      </c>
      <c r="H49" s="3" t="s">
        <v>20</v>
      </c>
      <c r="I49" s="3">
        <v>0.92</v>
      </c>
      <c r="J49" s="3">
        <v>122</v>
      </c>
      <c r="K49" s="3">
        <v>98.6</v>
      </c>
      <c r="L49" s="3">
        <v>15</v>
      </c>
      <c r="M49" s="3">
        <v>915</v>
      </c>
      <c r="N49" s="3">
        <v>3270</v>
      </c>
      <c r="O49" s="3">
        <v>6050</v>
      </c>
      <c r="P49" s="4">
        <v>132000</v>
      </c>
      <c r="Q49" s="3">
        <v>0.16</v>
      </c>
      <c r="R49" s="4">
        <v>7350000</v>
      </c>
      <c r="S49" s="4">
        <v>9100000</v>
      </c>
      <c r="T49" s="3">
        <v>4</v>
      </c>
      <c r="U49" s="3">
        <f>data1[[#This Row],[Annual_Operating_Hours]]*data1[[#This Row],[Cost_per_Hour_USD]]</f>
        <v>19783500</v>
      </c>
    </row>
    <row r="50" spans="1:21" x14ac:dyDescent="0.3">
      <c r="A50" s="3" t="s">
        <v>90</v>
      </c>
      <c r="B50" s="3" t="s">
        <v>15</v>
      </c>
      <c r="C50" s="3" t="s">
        <v>22</v>
      </c>
      <c r="D50" s="3" t="s">
        <v>23</v>
      </c>
      <c r="E50" s="1">
        <v>45659</v>
      </c>
      <c r="F50" s="3" t="s">
        <v>36</v>
      </c>
      <c r="G50" s="3" t="s">
        <v>25</v>
      </c>
      <c r="H50" s="3" t="s">
        <v>26</v>
      </c>
      <c r="I50" s="3">
        <v>0.88</v>
      </c>
      <c r="J50" s="3">
        <v>235</v>
      </c>
      <c r="K50" s="3">
        <v>96.8</v>
      </c>
      <c r="L50" s="3">
        <v>20</v>
      </c>
      <c r="M50" s="3">
        <v>515</v>
      </c>
      <c r="N50" s="3">
        <v>2160</v>
      </c>
      <c r="O50" s="3">
        <v>2450</v>
      </c>
      <c r="P50" s="4">
        <v>125000</v>
      </c>
      <c r="Q50" s="3">
        <v>0.18</v>
      </c>
      <c r="R50" s="4">
        <v>5120000</v>
      </c>
      <c r="S50" s="4">
        <v>3550000</v>
      </c>
      <c r="T50" s="3">
        <v>5</v>
      </c>
      <c r="U50" s="3">
        <f>data1[[#This Row],[Annual_Operating_Hours]]*data1[[#This Row],[Cost_per_Hour_USD]]</f>
        <v>5292000</v>
      </c>
    </row>
    <row r="51" spans="1:21" x14ac:dyDescent="0.3">
      <c r="A51" s="3" t="s">
        <v>91</v>
      </c>
      <c r="B51" s="3" t="s">
        <v>39</v>
      </c>
      <c r="C51" s="3" t="s">
        <v>50</v>
      </c>
      <c r="D51" s="3" t="s">
        <v>40</v>
      </c>
      <c r="E51" s="1">
        <v>45667</v>
      </c>
      <c r="F51" s="3" t="s">
        <v>30</v>
      </c>
      <c r="G51" s="3" t="s">
        <v>51</v>
      </c>
      <c r="H51" s="3" t="s">
        <v>43</v>
      </c>
      <c r="I51" s="3">
        <v>0.93</v>
      </c>
      <c r="J51" s="3">
        <v>190</v>
      </c>
      <c r="K51" s="3">
        <v>99.1</v>
      </c>
      <c r="L51" s="3">
        <v>13</v>
      </c>
      <c r="M51" s="3">
        <v>625</v>
      </c>
      <c r="N51" s="3">
        <v>1750</v>
      </c>
      <c r="O51" s="3">
        <v>2150</v>
      </c>
      <c r="P51" s="4">
        <v>86000</v>
      </c>
      <c r="Q51" s="3">
        <v>0.17</v>
      </c>
      <c r="R51" s="4">
        <v>3750000</v>
      </c>
      <c r="S51" s="4">
        <v>2480000</v>
      </c>
      <c r="T51" s="3">
        <v>3</v>
      </c>
      <c r="U51" s="3">
        <f>data1[[#This Row],[Annual_Operating_Hours]]*data1[[#This Row],[Cost_per_Hour_USD]]</f>
        <v>3762500</v>
      </c>
    </row>
    <row r="52" spans="1:21" x14ac:dyDescent="0.3">
      <c r="A52" s="3" t="s">
        <v>92</v>
      </c>
      <c r="B52" s="3" t="s">
        <v>28</v>
      </c>
      <c r="C52" s="3" t="s">
        <v>16</v>
      </c>
      <c r="D52" s="3" t="s">
        <v>29</v>
      </c>
      <c r="E52" s="1">
        <v>45675</v>
      </c>
      <c r="F52" s="3" t="s">
        <v>18</v>
      </c>
      <c r="G52" s="3" t="s">
        <v>31</v>
      </c>
      <c r="H52" s="3" t="s">
        <v>20</v>
      </c>
      <c r="I52" s="3">
        <v>0.95</v>
      </c>
      <c r="J52" s="3">
        <v>93</v>
      </c>
      <c r="K52" s="3">
        <v>99.5</v>
      </c>
      <c r="L52" s="3">
        <v>9</v>
      </c>
      <c r="M52" s="3">
        <v>1530</v>
      </c>
      <c r="N52" s="3">
        <v>4580</v>
      </c>
      <c r="O52" s="3">
        <v>8100</v>
      </c>
      <c r="P52" s="4">
        <v>152000</v>
      </c>
      <c r="Q52" s="3">
        <v>0.14000000000000001</v>
      </c>
      <c r="R52" s="4">
        <v>9100000</v>
      </c>
      <c r="S52" s="4">
        <v>12150000</v>
      </c>
      <c r="T52" s="3">
        <v>5</v>
      </c>
      <c r="U52" s="3">
        <f>data1[[#This Row],[Annual_Operating_Hours]]*data1[[#This Row],[Cost_per_Hour_USD]]</f>
        <v>37098000</v>
      </c>
    </row>
    <row r="53" spans="1:21" x14ac:dyDescent="0.3">
      <c r="A53" s="3" t="s">
        <v>93</v>
      </c>
      <c r="B53" s="3" t="s">
        <v>33</v>
      </c>
      <c r="C53" s="3" t="s">
        <v>34</v>
      </c>
      <c r="D53" s="3" t="s">
        <v>35</v>
      </c>
      <c r="E53" s="1">
        <v>45682</v>
      </c>
      <c r="F53" s="3" t="s">
        <v>24</v>
      </c>
      <c r="G53" s="3" t="s">
        <v>37</v>
      </c>
      <c r="H53" s="3" t="s">
        <v>26</v>
      </c>
      <c r="I53" s="3">
        <v>0.9</v>
      </c>
      <c r="J53" s="3">
        <v>140</v>
      </c>
      <c r="K53" s="3">
        <v>97.9</v>
      </c>
      <c r="L53" s="3">
        <v>17</v>
      </c>
      <c r="M53" s="3">
        <v>950</v>
      </c>
      <c r="N53" s="3">
        <v>3320</v>
      </c>
      <c r="O53" s="3">
        <v>6200</v>
      </c>
      <c r="P53" s="4">
        <v>136000</v>
      </c>
      <c r="Q53" s="3">
        <v>0.16</v>
      </c>
      <c r="R53" s="4">
        <v>7450000</v>
      </c>
      <c r="S53" s="4">
        <v>9200000</v>
      </c>
      <c r="T53" s="3">
        <v>5</v>
      </c>
      <c r="U53" s="3">
        <f>data1[[#This Row],[Annual_Operating_Hours]]*data1[[#This Row],[Cost_per_Hour_USD]]</f>
        <v>20584000</v>
      </c>
    </row>
    <row r="54" spans="1:21" x14ac:dyDescent="0.3">
      <c r="A54" s="3" t="s">
        <v>94</v>
      </c>
      <c r="B54" s="3" t="s">
        <v>15</v>
      </c>
      <c r="C54" s="3" t="s">
        <v>16</v>
      </c>
      <c r="D54" s="3" t="s">
        <v>17</v>
      </c>
      <c r="E54" s="1">
        <v>45690</v>
      </c>
      <c r="F54" s="3" t="s">
        <v>36</v>
      </c>
      <c r="G54" s="3" t="s">
        <v>19</v>
      </c>
      <c r="H54" s="3" t="s">
        <v>20</v>
      </c>
      <c r="I54" s="3">
        <v>0.94</v>
      </c>
      <c r="J54" s="3">
        <v>185</v>
      </c>
      <c r="K54" s="3">
        <v>98.8</v>
      </c>
      <c r="L54" s="3">
        <v>11</v>
      </c>
      <c r="M54" s="3">
        <v>445</v>
      </c>
      <c r="N54" s="3">
        <v>1850</v>
      </c>
      <c r="O54" s="3">
        <v>2300</v>
      </c>
      <c r="P54" s="4">
        <v>87000</v>
      </c>
      <c r="Q54" s="3">
        <v>0.18</v>
      </c>
      <c r="R54" s="4">
        <v>4280000</v>
      </c>
      <c r="S54" s="4">
        <v>2900000</v>
      </c>
      <c r="T54" s="3">
        <v>4</v>
      </c>
      <c r="U54" s="3">
        <f>data1[[#This Row],[Annual_Operating_Hours]]*data1[[#This Row],[Cost_per_Hour_USD]]</f>
        <v>4255000</v>
      </c>
    </row>
    <row r="55" spans="1:21" x14ac:dyDescent="0.3">
      <c r="A55" s="3" t="s">
        <v>95</v>
      </c>
      <c r="B55" s="3" t="s">
        <v>39</v>
      </c>
      <c r="C55" s="3" t="s">
        <v>22</v>
      </c>
      <c r="D55" s="3" t="s">
        <v>40</v>
      </c>
      <c r="E55" s="1">
        <v>45698</v>
      </c>
      <c r="F55" s="3" t="s">
        <v>18</v>
      </c>
      <c r="G55" s="3" t="s">
        <v>41</v>
      </c>
      <c r="H55" s="3" t="s">
        <v>20</v>
      </c>
      <c r="I55" s="3">
        <v>0.87</v>
      </c>
      <c r="J55" s="3">
        <v>255</v>
      </c>
      <c r="K55" s="3">
        <v>97</v>
      </c>
      <c r="L55" s="3">
        <v>21</v>
      </c>
      <c r="M55" s="3">
        <v>670</v>
      </c>
      <c r="N55" s="3">
        <v>1780</v>
      </c>
      <c r="O55" s="3">
        <v>2050</v>
      </c>
      <c r="P55" s="4">
        <v>94000</v>
      </c>
      <c r="Q55" s="3">
        <v>0.17</v>
      </c>
      <c r="R55" s="4">
        <v>3850000</v>
      </c>
      <c r="S55" s="4">
        <v>2650000</v>
      </c>
      <c r="T55" s="3">
        <v>3</v>
      </c>
      <c r="U55" s="3">
        <f>data1[[#This Row],[Annual_Operating_Hours]]*data1[[#This Row],[Cost_per_Hour_USD]]</f>
        <v>3649000</v>
      </c>
    </row>
    <row r="56" spans="1:21" x14ac:dyDescent="0.3">
      <c r="A56" s="3" t="s">
        <v>96</v>
      </c>
      <c r="B56" s="3" t="s">
        <v>28</v>
      </c>
      <c r="C56" s="3" t="s">
        <v>45</v>
      </c>
      <c r="D56" s="3" t="s">
        <v>29</v>
      </c>
      <c r="E56" s="1">
        <v>45706</v>
      </c>
      <c r="F56" s="3" t="s">
        <v>30</v>
      </c>
      <c r="G56" s="3" t="s">
        <v>46</v>
      </c>
      <c r="H56" s="3" t="s">
        <v>43</v>
      </c>
      <c r="I56" s="3">
        <v>0.98</v>
      </c>
      <c r="J56" s="3">
        <v>81</v>
      </c>
      <c r="K56" s="3">
        <v>99.9</v>
      </c>
      <c r="L56" s="3">
        <v>7</v>
      </c>
      <c r="M56" s="3">
        <v>1610</v>
      </c>
      <c r="N56" s="3">
        <v>4820</v>
      </c>
      <c r="O56" s="3">
        <v>8350</v>
      </c>
      <c r="P56" s="4">
        <v>168000</v>
      </c>
      <c r="Q56" s="3">
        <v>0.14000000000000001</v>
      </c>
      <c r="R56" s="4">
        <v>9600000</v>
      </c>
      <c r="S56" s="4">
        <v>13100000</v>
      </c>
      <c r="T56" s="3">
        <v>5</v>
      </c>
      <c r="U56" s="3">
        <f>data1[[#This Row],[Annual_Operating_Hours]]*data1[[#This Row],[Cost_per_Hour_USD]]</f>
        <v>40247000</v>
      </c>
    </row>
    <row r="57" spans="1:21" x14ac:dyDescent="0.3">
      <c r="A57" s="3" t="s">
        <v>97</v>
      </c>
      <c r="B57" s="3" t="s">
        <v>33</v>
      </c>
      <c r="C57" s="3" t="s">
        <v>34</v>
      </c>
      <c r="D57" s="3" t="s">
        <v>35</v>
      </c>
      <c r="E57" s="1">
        <v>45714</v>
      </c>
      <c r="F57" s="3" t="s">
        <v>24</v>
      </c>
      <c r="G57" s="3" t="s">
        <v>37</v>
      </c>
      <c r="H57" s="3" t="s">
        <v>26</v>
      </c>
      <c r="I57" s="3">
        <v>0.89</v>
      </c>
      <c r="J57" s="3">
        <v>150</v>
      </c>
      <c r="K57" s="3">
        <v>97.6</v>
      </c>
      <c r="L57" s="3">
        <v>19</v>
      </c>
      <c r="M57" s="3">
        <v>960</v>
      </c>
      <c r="N57" s="3">
        <v>3360</v>
      </c>
      <c r="O57" s="3">
        <v>6300</v>
      </c>
      <c r="P57" s="4">
        <v>142000</v>
      </c>
      <c r="Q57" s="3">
        <v>0.16</v>
      </c>
      <c r="R57" s="4">
        <v>7550000</v>
      </c>
      <c r="S57" s="4">
        <v>9300000</v>
      </c>
      <c r="T57" s="3">
        <v>5</v>
      </c>
      <c r="U57" s="3">
        <f>data1[[#This Row],[Annual_Operating_Hours]]*data1[[#This Row],[Cost_per_Hour_USD]]</f>
        <v>21168000</v>
      </c>
    </row>
    <row r="58" spans="1:21" x14ac:dyDescent="0.3">
      <c r="A58" s="3" t="s">
        <v>98</v>
      </c>
      <c r="B58" s="3" t="s">
        <v>15</v>
      </c>
      <c r="C58" s="3" t="s">
        <v>22</v>
      </c>
      <c r="D58" s="3" t="s">
        <v>23</v>
      </c>
      <c r="E58" s="1">
        <v>45721</v>
      </c>
      <c r="F58" s="3" t="s">
        <v>18</v>
      </c>
      <c r="G58" s="3" t="s">
        <v>25</v>
      </c>
      <c r="H58" s="3" t="s">
        <v>26</v>
      </c>
      <c r="I58" s="3">
        <v>0.86</v>
      </c>
      <c r="J58" s="3">
        <v>245</v>
      </c>
      <c r="K58" s="3">
        <v>96.3</v>
      </c>
      <c r="L58" s="3">
        <v>22</v>
      </c>
      <c r="M58" s="3">
        <v>535</v>
      </c>
      <c r="N58" s="3">
        <v>2190</v>
      </c>
      <c r="O58" s="3">
        <v>2500</v>
      </c>
      <c r="P58" s="4">
        <v>128000</v>
      </c>
      <c r="Q58" s="3">
        <v>0.18</v>
      </c>
      <c r="R58" s="4">
        <v>5200000</v>
      </c>
      <c r="S58" s="4">
        <v>3680000</v>
      </c>
      <c r="T58" s="3">
        <v>5</v>
      </c>
      <c r="U58" s="3">
        <f>data1[[#This Row],[Annual_Operating_Hours]]*data1[[#This Row],[Cost_per_Hour_USD]]</f>
        <v>5475000</v>
      </c>
    </row>
    <row r="59" spans="1:21" x14ac:dyDescent="0.3">
      <c r="A59" s="3" t="s">
        <v>99</v>
      </c>
      <c r="B59" s="3" t="s">
        <v>39</v>
      </c>
      <c r="C59" s="3" t="s">
        <v>50</v>
      </c>
      <c r="D59" s="3" t="s">
        <v>40</v>
      </c>
      <c r="E59" s="1">
        <v>45728</v>
      </c>
      <c r="F59" s="3" t="s">
        <v>36</v>
      </c>
      <c r="G59" s="3" t="s">
        <v>51</v>
      </c>
      <c r="H59" s="3" t="s">
        <v>43</v>
      </c>
      <c r="I59" s="3">
        <v>0.92</v>
      </c>
      <c r="J59" s="3">
        <v>200</v>
      </c>
      <c r="K59" s="3">
        <v>99</v>
      </c>
      <c r="L59" s="3">
        <v>14</v>
      </c>
      <c r="M59" s="3">
        <v>610</v>
      </c>
      <c r="N59" s="3">
        <v>1720</v>
      </c>
      <c r="O59" s="3">
        <v>2150</v>
      </c>
      <c r="P59" s="4">
        <v>88000</v>
      </c>
      <c r="Q59" s="3">
        <v>0.17</v>
      </c>
      <c r="R59" s="4">
        <v>3900000</v>
      </c>
      <c r="S59" s="4">
        <v>2500000</v>
      </c>
      <c r="T59" s="3">
        <v>3</v>
      </c>
      <c r="U59" s="3">
        <f>data1[[#This Row],[Annual_Operating_Hours]]*data1[[#This Row],[Cost_per_Hour_USD]]</f>
        <v>3698000</v>
      </c>
    </row>
    <row r="60" spans="1:21" x14ac:dyDescent="0.3">
      <c r="A60" s="3" t="s">
        <v>100</v>
      </c>
      <c r="B60" s="3" t="s">
        <v>28</v>
      </c>
      <c r="C60" s="3" t="s">
        <v>16</v>
      </c>
      <c r="D60" s="3" t="s">
        <v>29</v>
      </c>
      <c r="E60" s="1">
        <v>45736</v>
      </c>
      <c r="F60" s="3" t="s">
        <v>30</v>
      </c>
      <c r="G60" s="3" t="s">
        <v>31</v>
      </c>
      <c r="H60" s="3" t="s">
        <v>20</v>
      </c>
      <c r="I60" s="3">
        <v>0.96</v>
      </c>
      <c r="J60" s="3">
        <v>98</v>
      </c>
      <c r="K60" s="3">
        <v>99.6</v>
      </c>
      <c r="L60" s="3">
        <v>9</v>
      </c>
      <c r="M60" s="3">
        <v>1550</v>
      </c>
      <c r="N60" s="3">
        <v>4620</v>
      </c>
      <c r="O60" s="3">
        <v>8200</v>
      </c>
      <c r="P60" s="4">
        <v>153000</v>
      </c>
      <c r="Q60" s="3">
        <v>0.14000000000000001</v>
      </c>
      <c r="R60" s="4">
        <v>9150000</v>
      </c>
      <c r="S60" s="4">
        <v>12200000</v>
      </c>
      <c r="T60" s="3">
        <v>5</v>
      </c>
      <c r="U60" s="3">
        <f>data1[[#This Row],[Annual_Operating_Hours]]*data1[[#This Row],[Cost_per_Hour_USD]]</f>
        <v>37884000</v>
      </c>
    </row>
    <row r="61" spans="1:21" x14ac:dyDescent="0.3">
      <c r="A61" s="3" t="s">
        <v>101</v>
      </c>
      <c r="B61" s="3" t="s">
        <v>33</v>
      </c>
      <c r="C61" s="3" t="s">
        <v>34</v>
      </c>
      <c r="D61" s="3" t="s">
        <v>35</v>
      </c>
      <c r="E61" s="1">
        <v>45744</v>
      </c>
      <c r="F61" s="3" t="s">
        <v>18</v>
      </c>
      <c r="G61" s="3" t="s">
        <v>37</v>
      </c>
      <c r="H61" s="3" t="s">
        <v>20</v>
      </c>
      <c r="I61" s="3">
        <v>0.91</v>
      </c>
      <c r="J61" s="3">
        <v>130</v>
      </c>
      <c r="K61" s="3">
        <v>98.3</v>
      </c>
      <c r="L61" s="3">
        <v>15</v>
      </c>
      <c r="M61" s="3">
        <v>910</v>
      </c>
      <c r="N61" s="3">
        <v>3210</v>
      </c>
      <c r="O61" s="3">
        <v>6100</v>
      </c>
      <c r="P61" s="4">
        <v>138000</v>
      </c>
      <c r="Q61" s="3">
        <v>0.16</v>
      </c>
      <c r="R61" s="4">
        <v>7350000</v>
      </c>
      <c r="S61" s="4">
        <v>9120000</v>
      </c>
      <c r="T61" s="3">
        <v>4</v>
      </c>
      <c r="U61" s="3">
        <f>data1[[#This Row],[Annual_Operating_Hours]]*data1[[#This Row],[Cost_per_Hour_USD]]</f>
        <v>19581000</v>
      </c>
    </row>
    <row r="62" spans="1:21" x14ac:dyDescent="0.3">
      <c r="A62" s="3" t="s">
        <v>102</v>
      </c>
      <c r="B62" s="3" t="s">
        <v>15</v>
      </c>
      <c r="C62" s="3" t="s">
        <v>16</v>
      </c>
      <c r="D62" s="3" t="s">
        <v>17</v>
      </c>
      <c r="E62" s="1">
        <v>45752</v>
      </c>
      <c r="F62" s="3" t="s">
        <v>24</v>
      </c>
      <c r="G62" s="3" t="s">
        <v>19</v>
      </c>
      <c r="H62" s="3" t="s">
        <v>26</v>
      </c>
      <c r="I62" s="3">
        <v>0.92</v>
      </c>
      <c r="J62" s="3">
        <v>180</v>
      </c>
      <c r="K62" s="3">
        <v>98.9</v>
      </c>
      <c r="L62" s="3">
        <v>13</v>
      </c>
      <c r="M62" s="3">
        <v>430</v>
      </c>
      <c r="N62" s="3">
        <v>1890</v>
      </c>
      <c r="O62" s="3">
        <v>2290</v>
      </c>
      <c r="P62" s="4">
        <v>90000</v>
      </c>
      <c r="Q62" s="3">
        <v>0.18</v>
      </c>
      <c r="R62" s="4">
        <v>4300000</v>
      </c>
      <c r="S62" s="4">
        <v>2820000</v>
      </c>
      <c r="T62" s="3">
        <v>4</v>
      </c>
      <c r="U62" s="3">
        <f>data1[[#This Row],[Annual_Operating_Hours]]*data1[[#This Row],[Cost_per_Hour_USD]]</f>
        <v>4328100</v>
      </c>
    </row>
    <row r="63" spans="1:21" x14ac:dyDescent="0.3">
      <c r="A63" s="3" t="s">
        <v>103</v>
      </c>
      <c r="B63" s="3" t="s">
        <v>39</v>
      </c>
      <c r="C63" s="3" t="s">
        <v>22</v>
      </c>
      <c r="D63" s="3" t="s">
        <v>40</v>
      </c>
      <c r="E63" s="1">
        <v>45759</v>
      </c>
      <c r="F63" s="3" t="s">
        <v>36</v>
      </c>
      <c r="G63" s="3" t="s">
        <v>41</v>
      </c>
      <c r="H63" s="3" t="s">
        <v>26</v>
      </c>
      <c r="I63" s="3">
        <v>0.85</v>
      </c>
      <c r="J63" s="3">
        <v>265</v>
      </c>
      <c r="K63" s="3">
        <v>96.1</v>
      </c>
      <c r="L63" s="3">
        <v>24</v>
      </c>
      <c r="M63" s="3">
        <v>685</v>
      </c>
      <c r="N63" s="3">
        <v>1810</v>
      </c>
      <c r="O63" s="3">
        <v>2650</v>
      </c>
      <c r="P63" s="4">
        <v>139000</v>
      </c>
      <c r="Q63" s="3">
        <v>0.18</v>
      </c>
      <c r="R63" s="4">
        <v>5480000</v>
      </c>
      <c r="S63" s="4">
        <v>3850000</v>
      </c>
      <c r="T63" s="3">
        <v>5</v>
      </c>
      <c r="U63" s="3">
        <f>data1[[#This Row],[Annual_Operating_Hours]]*data1[[#This Row],[Cost_per_Hour_USD]]</f>
        <v>4796500</v>
      </c>
    </row>
    <row r="64" spans="1:21" x14ac:dyDescent="0.3">
      <c r="A64" s="3" t="s">
        <v>104</v>
      </c>
      <c r="B64" s="3" t="s">
        <v>28</v>
      </c>
      <c r="C64" s="3" t="s">
        <v>45</v>
      </c>
      <c r="D64" s="3" t="s">
        <v>29</v>
      </c>
      <c r="E64" s="1">
        <v>45767</v>
      </c>
      <c r="F64" s="3" t="s">
        <v>18</v>
      </c>
      <c r="G64" s="3" t="s">
        <v>46</v>
      </c>
      <c r="H64" s="3" t="s">
        <v>43</v>
      </c>
      <c r="I64" s="3">
        <v>0.97</v>
      </c>
      <c r="J64" s="3">
        <v>85</v>
      </c>
      <c r="K64" s="3">
        <v>99.7</v>
      </c>
      <c r="L64" s="3">
        <v>8</v>
      </c>
      <c r="M64" s="3">
        <v>1630</v>
      </c>
      <c r="N64" s="3">
        <v>4890</v>
      </c>
      <c r="O64" s="3">
        <v>8450</v>
      </c>
      <c r="P64" s="4">
        <v>170000</v>
      </c>
      <c r="Q64" s="3">
        <v>0.14000000000000001</v>
      </c>
      <c r="R64" s="4">
        <v>9650000</v>
      </c>
      <c r="S64" s="4">
        <v>12900000</v>
      </c>
      <c r="T64" s="3">
        <v>5</v>
      </c>
      <c r="U64" s="3">
        <f>data1[[#This Row],[Annual_Operating_Hours]]*data1[[#This Row],[Cost_per_Hour_USD]]</f>
        <v>41320500</v>
      </c>
    </row>
    <row r="65" spans="1:21" x14ac:dyDescent="0.3">
      <c r="A65" s="3" t="s">
        <v>105</v>
      </c>
      <c r="B65" s="3" t="s">
        <v>33</v>
      </c>
      <c r="C65" s="3" t="s">
        <v>34</v>
      </c>
      <c r="D65" s="3" t="s">
        <v>35</v>
      </c>
      <c r="E65" s="1">
        <v>45775</v>
      </c>
      <c r="F65" s="3" t="s">
        <v>30</v>
      </c>
      <c r="G65" s="3" t="s">
        <v>37</v>
      </c>
      <c r="H65" s="3" t="s">
        <v>26</v>
      </c>
      <c r="I65" s="3">
        <v>0.9</v>
      </c>
      <c r="J65" s="3">
        <v>140</v>
      </c>
      <c r="K65" s="3">
        <v>98</v>
      </c>
      <c r="L65" s="3">
        <v>18</v>
      </c>
      <c r="M65" s="3">
        <v>940</v>
      </c>
      <c r="N65" s="3">
        <v>3290</v>
      </c>
      <c r="O65" s="3">
        <v>6200</v>
      </c>
      <c r="P65" s="4">
        <v>135000</v>
      </c>
      <c r="Q65" s="3">
        <v>0.16</v>
      </c>
      <c r="R65" s="4">
        <v>7450000</v>
      </c>
      <c r="S65" s="4">
        <v>9250000</v>
      </c>
      <c r="T65" s="3">
        <v>5</v>
      </c>
      <c r="U65" s="3">
        <f>data1[[#This Row],[Annual_Operating_Hours]]*data1[[#This Row],[Cost_per_Hour_USD]]</f>
        <v>20398000</v>
      </c>
    </row>
    <row r="66" spans="1:21" x14ac:dyDescent="0.3">
      <c r="A66" s="3" t="s">
        <v>106</v>
      </c>
      <c r="B66" s="3" t="s">
        <v>15</v>
      </c>
      <c r="C66" s="3" t="s">
        <v>22</v>
      </c>
      <c r="D66" s="3" t="s">
        <v>23</v>
      </c>
      <c r="E66" s="1">
        <v>45782</v>
      </c>
      <c r="F66" s="3" t="s">
        <v>24</v>
      </c>
      <c r="G66" s="3" t="s">
        <v>25</v>
      </c>
      <c r="H66" s="3" t="s">
        <v>26</v>
      </c>
      <c r="I66" s="3">
        <v>0.87</v>
      </c>
      <c r="J66" s="3">
        <v>250</v>
      </c>
      <c r="K66" s="3">
        <v>96.5</v>
      </c>
      <c r="L66" s="3">
        <v>21</v>
      </c>
      <c r="M66" s="3">
        <v>520</v>
      </c>
      <c r="N66" s="3">
        <v>2230</v>
      </c>
      <c r="O66" s="3">
        <v>2550</v>
      </c>
      <c r="P66" s="4">
        <v>127000</v>
      </c>
      <c r="Q66" s="3">
        <v>0.18</v>
      </c>
      <c r="R66" s="4">
        <v>5300000</v>
      </c>
      <c r="S66" s="4">
        <v>3720000</v>
      </c>
      <c r="T66" s="3">
        <v>5</v>
      </c>
      <c r="U66" s="3">
        <f>data1[[#This Row],[Annual_Operating_Hours]]*data1[[#This Row],[Cost_per_Hour_USD]]</f>
        <v>5686500</v>
      </c>
    </row>
    <row r="67" spans="1:21" x14ac:dyDescent="0.3">
      <c r="A67" s="3" t="s">
        <v>107</v>
      </c>
      <c r="B67" s="3" t="s">
        <v>39</v>
      </c>
      <c r="C67" s="3" t="s">
        <v>50</v>
      </c>
      <c r="D67" s="3" t="s">
        <v>40</v>
      </c>
      <c r="E67" s="1">
        <v>45790</v>
      </c>
      <c r="F67" s="3" t="s">
        <v>18</v>
      </c>
      <c r="G67" s="3" t="s">
        <v>51</v>
      </c>
      <c r="H67" s="3" t="s">
        <v>43</v>
      </c>
      <c r="I67" s="3">
        <v>0.93</v>
      </c>
      <c r="J67" s="3">
        <v>195</v>
      </c>
      <c r="K67" s="3">
        <v>98.9</v>
      </c>
      <c r="L67" s="3">
        <v>13</v>
      </c>
      <c r="M67" s="3">
        <v>625</v>
      </c>
      <c r="N67" s="3">
        <v>1730</v>
      </c>
      <c r="O67" s="3">
        <v>2250</v>
      </c>
      <c r="P67" s="4">
        <v>87000</v>
      </c>
      <c r="Q67" s="3">
        <v>0.17</v>
      </c>
      <c r="R67" s="4">
        <v>3950000</v>
      </c>
      <c r="S67" s="4">
        <v>2600000</v>
      </c>
      <c r="T67" s="3">
        <v>3</v>
      </c>
      <c r="U67" s="3">
        <f>data1[[#This Row],[Annual_Operating_Hours]]*data1[[#This Row],[Cost_per_Hour_USD]]</f>
        <v>3892500</v>
      </c>
    </row>
    <row r="68" spans="1:21" x14ac:dyDescent="0.3">
      <c r="A68" s="3" t="s">
        <v>108</v>
      </c>
      <c r="B68" s="3" t="s">
        <v>28</v>
      </c>
      <c r="C68" s="3" t="s">
        <v>16</v>
      </c>
      <c r="D68" s="3" t="s">
        <v>29</v>
      </c>
      <c r="E68" s="1">
        <v>45798</v>
      </c>
      <c r="F68" s="3" t="s">
        <v>36</v>
      </c>
      <c r="G68" s="3" t="s">
        <v>31</v>
      </c>
      <c r="H68" s="3" t="s">
        <v>20</v>
      </c>
      <c r="I68" s="3">
        <v>0.95</v>
      </c>
      <c r="J68" s="3">
        <v>90</v>
      </c>
      <c r="K68" s="3">
        <v>99.5</v>
      </c>
      <c r="L68" s="3">
        <v>10</v>
      </c>
      <c r="M68" s="3">
        <v>1540</v>
      </c>
      <c r="N68" s="3">
        <v>4600</v>
      </c>
      <c r="O68" s="3">
        <v>8150</v>
      </c>
      <c r="P68" s="4">
        <v>150000</v>
      </c>
      <c r="Q68" s="3">
        <v>0.14000000000000001</v>
      </c>
      <c r="R68" s="4">
        <v>9000000</v>
      </c>
      <c r="S68" s="4">
        <v>12100000</v>
      </c>
      <c r="T68" s="3">
        <v>5</v>
      </c>
      <c r="U68" s="3">
        <f>data1[[#This Row],[Annual_Operating_Hours]]*data1[[#This Row],[Cost_per_Hour_USD]]</f>
        <v>37490000</v>
      </c>
    </row>
    <row r="69" spans="1:21" x14ac:dyDescent="0.3">
      <c r="A69" s="3" t="s">
        <v>109</v>
      </c>
      <c r="B69" s="3" t="s">
        <v>33</v>
      </c>
      <c r="C69" s="3" t="s">
        <v>34</v>
      </c>
      <c r="D69" s="3" t="s">
        <v>35</v>
      </c>
      <c r="E69" s="1">
        <v>45806</v>
      </c>
      <c r="F69" s="3" t="s">
        <v>24</v>
      </c>
      <c r="G69" s="3" t="s">
        <v>37</v>
      </c>
      <c r="H69" s="3" t="s">
        <v>26</v>
      </c>
      <c r="I69" s="3">
        <v>0.88</v>
      </c>
      <c r="J69" s="3">
        <v>150</v>
      </c>
      <c r="K69" s="3">
        <v>97.8</v>
      </c>
      <c r="L69" s="3">
        <v>19</v>
      </c>
      <c r="M69" s="3">
        <v>950</v>
      </c>
      <c r="N69" s="3">
        <v>3330</v>
      </c>
      <c r="O69" s="3">
        <v>6150</v>
      </c>
      <c r="P69" s="4">
        <v>137000</v>
      </c>
      <c r="Q69" s="3">
        <v>0.16</v>
      </c>
      <c r="R69" s="4">
        <v>7450000</v>
      </c>
      <c r="S69" s="4">
        <v>9170000</v>
      </c>
      <c r="T69" s="3">
        <v>4</v>
      </c>
      <c r="U69" s="3">
        <f>data1[[#This Row],[Annual_Operating_Hours]]*data1[[#This Row],[Cost_per_Hour_USD]]</f>
        <v>20479500</v>
      </c>
    </row>
    <row r="70" spans="1:21" x14ac:dyDescent="0.3">
      <c r="A70" s="3" t="s">
        <v>110</v>
      </c>
      <c r="B70" s="3" t="s">
        <v>15</v>
      </c>
      <c r="C70" s="3" t="s">
        <v>16</v>
      </c>
      <c r="D70" s="3" t="s">
        <v>17</v>
      </c>
      <c r="E70" s="1">
        <v>45813</v>
      </c>
      <c r="F70" s="3" t="s">
        <v>30</v>
      </c>
      <c r="G70" s="3" t="s">
        <v>19</v>
      </c>
      <c r="H70" s="3" t="s">
        <v>20</v>
      </c>
      <c r="I70" s="3">
        <v>0.93</v>
      </c>
      <c r="J70" s="3">
        <v>170</v>
      </c>
      <c r="K70" s="3">
        <v>99.2</v>
      </c>
      <c r="L70" s="3">
        <v>12</v>
      </c>
      <c r="M70" s="3">
        <v>420</v>
      </c>
      <c r="N70" s="3">
        <v>1820</v>
      </c>
      <c r="O70" s="3">
        <v>2300</v>
      </c>
      <c r="P70" s="4">
        <v>88000</v>
      </c>
      <c r="Q70" s="3">
        <v>0.18</v>
      </c>
      <c r="R70" s="4">
        <v>4200000</v>
      </c>
      <c r="S70" s="4">
        <v>2800000</v>
      </c>
      <c r="T70" s="3">
        <v>4</v>
      </c>
      <c r="U70" s="3">
        <f>data1[[#This Row],[Annual_Operating_Hours]]*data1[[#This Row],[Cost_per_Hour_USD]]</f>
        <v>4186000</v>
      </c>
    </row>
    <row r="71" spans="1:21" x14ac:dyDescent="0.3">
      <c r="A71" s="3" t="s">
        <v>111</v>
      </c>
      <c r="B71" s="3" t="s">
        <v>39</v>
      </c>
      <c r="C71" s="3" t="s">
        <v>22</v>
      </c>
      <c r="D71" s="3" t="s">
        <v>40</v>
      </c>
      <c r="E71" s="1">
        <v>45821</v>
      </c>
      <c r="F71" s="3" t="s">
        <v>36</v>
      </c>
      <c r="G71" s="3" t="s">
        <v>41</v>
      </c>
      <c r="H71" s="3" t="s">
        <v>20</v>
      </c>
      <c r="I71" s="3">
        <v>0.86</v>
      </c>
      <c r="J71" s="3">
        <v>260</v>
      </c>
      <c r="K71" s="3">
        <v>97.2</v>
      </c>
      <c r="L71" s="3">
        <v>23</v>
      </c>
      <c r="M71" s="3">
        <v>675</v>
      </c>
      <c r="N71" s="3">
        <v>1770</v>
      </c>
      <c r="O71" s="3">
        <v>2450</v>
      </c>
      <c r="P71" s="4">
        <v>132000</v>
      </c>
      <c r="Q71" s="3">
        <v>0.17</v>
      </c>
      <c r="R71" s="4">
        <v>4950000</v>
      </c>
      <c r="S71" s="4">
        <v>3500000</v>
      </c>
      <c r="T71" s="3">
        <v>4</v>
      </c>
      <c r="U71" s="3">
        <f>data1[[#This Row],[Annual_Operating_Hours]]*data1[[#This Row],[Cost_per_Hour_USD]]</f>
        <v>4336500</v>
      </c>
    </row>
    <row r="72" spans="1:21" x14ac:dyDescent="0.3">
      <c r="A72" s="3" t="s">
        <v>112</v>
      </c>
      <c r="B72" s="3" t="s">
        <v>28</v>
      </c>
      <c r="C72" s="3" t="s">
        <v>45</v>
      </c>
      <c r="D72" s="3" t="s">
        <v>29</v>
      </c>
      <c r="E72" s="1">
        <v>45829</v>
      </c>
      <c r="F72" s="3" t="s">
        <v>18</v>
      </c>
      <c r="G72" s="3" t="s">
        <v>46</v>
      </c>
      <c r="H72" s="3" t="s">
        <v>43</v>
      </c>
      <c r="I72" s="3">
        <v>0.98</v>
      </c>
      <c r="J72" s="3">
        <v>83</v>
      </c>
      <c r="K72" s="3">
        <v>99.8</v>
      </c>
      <c r="L72" s="3">
        <v>7</v>
      </c>
      <c r="M72" s="3">
        <v>1640</v>
      </c>
      <c r="N72" s="3">
        <v>4850</v>
      </c>
      <c r="O72" s="3">
        <v>8300</v>
      </c>
      <c r="P72" s="4">
        <v>165000</v>
      </c>
      <c r="Q72" s="3">
        <v>0.14000000000000001</v>
      </c>
      <c r="R72" s="4">
        <v>9500000</v>
      </c>
      <c r="S72" s="4">
        <v>12700000</v>
      </c>
      <c r="T72" s="3">
        <v>5</v>
      </c>
      <c r="U72" s="3">
        <f>data1[[#This Row],[Annual_Operating_Hours]]*data1[[#This Row],[Cost_per_Hour_USD]]</f>
        <v>40255000</v>
      </c>
    </row>
    <row r="73" spans="1:21" x14ac:dyDescent="0.3">
      <c r="A73" s="3" t="s">
        <v>113</v>
      </c>
      <c r="B73" s="3" t="s">
        <v>33</v>
      </c>
      <c r="C73" s="3" t="s">
        <v>34</v>
      </c>
      <c r="D73" s="3" t="s">
        <v>35</v>
      </c>
      <c r="E73" s="1">
        <v>45837</v>
      </c>
      <c r="F73" s="3" t="s">
        <v>30</v>
      </c>
      <c r="G73" s="3" t="s">
        <v>37</v>
      </c>
      <c r="H73" s="3" t="s">
        <v>20</v>
      </c>
      <c r="I73" s="3">
        <v>0.91</v>
      </c>
      <c r="J73" s="3">
        <v>120</v>
      </c>
      <c r="K73" s="3">
        <v>98.4</v>
      </c>
      <c r="L73" s="3">
        <v>16</v>
      </c>
      <c r="M73" s="3">
        <v>920</v>
      </c>
      <c r="N73" s="3">
        <v>3240</v>
      </c>
      <c r="O73" s="3">
        <v>6150</v>
      </c>
      <c r="P73" s="4">
        <v>136000</v>
      </c>
      <c r="Q73" s="3">
        <v>0.16</v>
      </c>
      <c r="R73" s="4">
        <v>7400000</v>
      </c>
      <c r="S73" s="4">
        <v>9100000</v>
      </c>
      <c r="T73" s="3">
        <v>4</v>
      </c>
      <c r="U73" s="3">
        <f>data1[[#This Row],[Annual_Operating_Hours]]*data1[[#This Row],[Cost_per_Hour_USD]]</f>
        <v>19926000</v>
      </c>
    </row>
    <row r="74" spans="1:21" x14ac:dyDescent="0.3">
      <c r="A74" s="3" t="s">
        <v>114</v>
      </c>
      <c r="B74" s="3" t="s">
        <v>15</v>
      </c>
      <c r="C74" s="3" t="s">
        <v>22</v>
      </c>
      <c r="D74" s="3" t="s">
        <v>23</v>
      </c>
      <c r="E74" s="1">
        <v>45843</v>
      </c>
      <c r="F74" s="3" t="s">
        <v>36</v>
      </c>
      <c r="G74" s="3" t="s">
        <v>25</v>
      </c>
      <c r="H74" s="3" t="s">
        <v>26</v>
      </c>
      <c r="I74" s="3">
        <v>0.87</v>
      </c>
      <c r="J74" s="3">
        <v>245</v>
      </c>
      <c r="K74" s="3">
        <v>96.7</v>
      </c>
      <c r="L74" s="3">
        <v>20</v>
      </c>
      <c r="M74" s="3">
        <v>530</v>
      </c>
      <c r="N74" s="3">
        <v>2170</v>
      </c>
      <c r="O74" s="3">
        <v>2480</v>
      </c>
      <c r="P74" s="4">
        <v>125000</v>
      </c>
      <c r="Q74" s="3">
        <v>0.18</v>
      </c>
      <c r="R74" s="4">
        <v>5150000</v>
      </c>
      <c r="S74" s="4">
        <v>3580000</v>
      </c>
      <c r="T74" s="3">
        <v>5</v>
      </c>
      <c r="U74" s="3">
        <f>data1[[#This Row],[Annual_Operating_Hours]]*data1[[#This Row],[Cost_per_Hour_USD]]</f>
        <v>5381600</v>
      </c>
    </row>
    <row r="75" spans="1:21" x14ac:dyDescent="0.3">
      <c r="A75" s="3" t="s">
        <v>115</v>
      </c>
      <c r="B75" s="3" t="s">
        <v>39</v>
      </c>
      <c r="C75" s="3" t="s">
        <v>50</v>
      </c>
      <c r="D75" s="3" t="s">
        <v>40</v>
      </c>
      <c r="E75" s="1">
        <v>45850</v>
      </c>
      <c r="F75" s="3" t="s">
        <v>24</v>
      </c>
      <c r="G75" s="3" t="s">
        <v>51</v>
      </c>
      <c r="H75" s="3" t="s">
        <v>43</v>
      </c>
      <c r="I75" s="3">
        <v>0.92</v>
      </c>
      <c r="J75" s="3">
        <v>205</v>
      </c>
      <c r="K75" s="3">
        <v>98.8</v>
      </c>
      <c r="L75" s="3">
        <v>14</v>
      </c>
      <c r="M75" s="3">
        <v>610</v>
      </c>
      <c r="N75" s="3">
        <v>1700</v>
      </c>
      <c r="O75" s="3">
        <v>2120</v>
      </c>
      <c r="P75" s="4">
        <v>87000</v>
      </c>
      <c r="Q75" s="3">
        <v>0.17</v>
      </c>
      <c r="R75" s="4">
        <v>3700000</v>
      </c>
      <c r="S75" s="4">
        <v>2550000</v>
      </c>
      <c r="T75" s="3">
        <v>3</v>
      </c>
      <c r="U75" s="3">
        <f>data1[[#This Row],[Annual_Operating_Hours]]*data1[[#This Row],[Cost_per_Hour_USD]]</f>
        <v>3604000</v>
      </c>
    </row>
    <row r="76" spans="1:21" x14ac:dyDescent="0.3">
      <c r="A76" s="3" t="s">
        <v>116</v>
      </c>
      <c r="B76" s="3" t="s">
        <v>28</v>
      </c>
      <c r="C76" s="3" t="s">
        <v>16</v>
      </c>
      <c r="D76" s="3" t="s">
        <v>29</v>
      </c>
      <c r="E76" s="1">
        <v>45858</v>
      </c>
      <c r="F76" s="3" t="s">
        <v>18</v>
      </c>
      <c r="G76" s="3" t="s">
        <v>31</v>
      </c>
      <c r="H76" s="3" t="s">
        <v>20</v>
      </c>
      <c r="I76" s="3">
        <v>0.95</v>
      </c>
      <c r="J76" s="3">
        <v>92</v>
      </c>
      <c r="K76" s="3">
        <v>99.5</v>
      </c>
      <c r="L76" s="3">
        <v>9</v>
      </c>
      <c r="M76" s="3">
        <v>1560</v>
      </c>
      <c r="N76" s="3">
        <v>4660</v>
      </c>
      <c r="O76" s="3">
        <v>8250</v>
      </c>
      <c r="P76" s="4">
        <v>155000</v>
      </c>
      <c r="Q76" s="3">
        <v>0.14000000000000001</v>
      </c>
      <c r="R76" s="4">
        <v>9250000</v>
      </c>
      <c r="S76" s="4">
        <v>12500000</v>
      </c>
      <c r="T76" s="3">
        <v>5</v>
      </c>
      <c r="U76" s="3">
        <f>data1[[#This Row],[Annual_Operating_Hours]]*data1[[#This Row],[Cost_per_Hour_USD]]</f>
        <v>38445000</v>
      </c>
    </row>
    <row r="77" spans="1:21" x14ac:dyDescent="0.3">
      <c r="A77" s="3" t="s">
        <v>117</v>
      </c>
      <c r="B77" s="3" t="s">
        <v>33</v>
      </c>
      <c r="C77" s="3" t="s">
        <v>34</v>
      </c>
      <c r="D77" s="3" t="s">
        <v>35</v>
      </c>
      <c r="E77" s="1">
        <v>45866</v>
      </c>
      <c r="F77" s="3" t="s">
        <v>36</v>
      </c>
      <c r="G77" s="3" t="s">
        <v>37</v>
      </c>
      <c r="H77" s="3" t="s">
        <v>26</v>
      </c>
      <c r="I77" s="3">
        <v>0.89</v>
      </c>
      <c r="J77" s="3">
        <v>145</v>
      </c>
      <c r="K77" s="3">
        <v>97.9</v>
      </c>
      <c r="L77" s="3">
        <v>18</v>
      </c>
      <c r="M77" s="3">
        <v>935</v>
      </c>
      <c r="N77" s="3">
        <v>3310</v>
      </c>
      <c r="O77" s="3">
        <v>6100</v>
      </c>
      <c r="P77" s="4">
        <v>135000</v>
      </c>
      <c r="Q77" s="3">
        <v>0.16</v>
      </c>
      <c r="R77" s="4">
        <v>7400000</v>
      </c>
      <c r="S77" s="4">
        <v>9150000</v>
      </c>
      <c r="T77" s="3">
        <v>4</v>
      </c>
      <c r="U77" s="3">
        <f>data1[[#This Row],[Annual_Operating_Hours]]*data1[[#This Row],[Cost_per_Hour_USD]]</f>
        <v>20191000</v>
      </c>
    </row>
    <row r="78" spans="1:21" x14ac:dyDescent="0.3">
      <c r="A78" s="3" t="s">
        <v>118</v>
      </c>
      <c r="B78" s="3" t="s">
        <v>15</v>
      </c>
      <c r="C78" s="3" t="s">
        <v>16</v>
      </c>
      <c r="D78" s="3" t="s">
        <v>17</v>
      </c>
      <c r="E78" s="1">
        <v>45874</v>
      </c>
      <c r="F78" s="3" t="s">
        <v>18</v>
      </c>
      <c r="G78" s="3" t="s">
        <v>19</v>
      </c>
      <c r="H78" s="3" t="s">
        <v>20</v>
      </c>
      <c r="I78" s="3">
        <v>0.94</v>
      </c>
      <c r="J78" s="3">
        <v>180</v>
      </c>
      <c r="K78" s="3">
        <v>98.9</v>
      </c>
      <c r="L78" s="3">
        <v>11</v>
      </c>
      <c r="M78" s="3">
        <v>440</v>
      </c>
      <c r="N78" s="3">
        <v>1870</v>
      </c>
      <c r="O78" s="3">
        <v>2300</v>
      </c>
      <c r="P78" s="4">
        <v>89000</v>
      </c>
      <c r="Q78" s="3">
        <v>0.18</v>
      </c>
      <c r="R78" s="4">
        <v>4280000</v>
      </c>
      <c r="S78" s="4">
        <v>2900000</v>
      </c>
      <c r="T78" s="3">
        <v>4</v>
      </c>
      <c r="U78" s="3">
        <f>data1[[#This Row],[Annual_Operating_Hours]]*data1[[#This Row],[Cost_per_Hour_USD]]</f>
        <v>4301000</v>
      </c>
    </row>
    <row r="79" spans="1:21" x14ac:dyDescent="0.3">
      <c r="A79" s="3" t="s">
        <v>119</v>
      </c>
      <c r="B79" s="3" t="s">
        <v>39</v>
      </c>
      <c r="C79" s="3" t="s">
        <v>22</v>
      </c>
      <c r="D79" s="3" t="s">
        <v>40</v>
      </c>
      <c r="E79" s="1">
        <v>45881</v>
      </c>
      <c r="F79" s="3" t="s">
        <v>30</v>
      </c>
      <c r="G79" s="3" t="s">
        <v>41</v>
      </c>
      <c r="H79" s="3" t="s">
        <v>20</v>
      </c>
      <c r="I79" s="3">
        <v>0.85</v>
      </c>
      <c r="J79" s="3">
        <v>270</v>
      </c>
      <c r="K79" s="3">
        <v>96.8</v>
      </c>
      <c r="L79" s="3">
        <v>23</v>
      </c>
      <c r="M79" s="3">
        <v>690</v>
      </c>
      <c r="N79" s="3">
        <v>1790</v>
      </c>
      <c r="O79" s="3">
        <v>2000</v>
      </c>
      <c r="P79" s="4">
        <v>94000</v>
      </c>
      <c r="Q79" s="3">
        <v>0.17</v>
      </c>
      <c r="R79" s="4">
        <v>3750000</v>
      </c>
      <c r="S79" s="4">
        <v>2600000</v>
      </c>
      <c r="T79" s="3">
        <v>3</v>
      </c>
      <c r="U79" s="3">
        <f>data1[[#This Row],[Annual_Operating_Hours]]*data1[[#This Row],[Cost_per_Hour_USD]]</f>
        <v>3580000</v>
      </c>
    </row>
    <row r="80" spans="1:21" x14ac:dyDescent="0.3">
      <c r="A80" s="3" t="s">
        <v>120</v>
      </c>
      <c r="B80" s="3" t="s">
        <v>28</v>
      </c>
      <c r="C80" s="3" t="s">
        <v>45</v>
      </c>
      <c r="D80" s="3" t="s">
        <v>29</v>
      </c>
      <c r="E80" s="1">
        <v>45889</v>
      </c>
      <c r="F80" s="3" t="s">
        <v>24</v>
      </c>
      <c r="G80" s="3" t="s">
        <v>46</v>
      </c>
      <c r="H80" s="3" t="s">
        <v>43</v>
      </c>
      <c r="I80" s="3">
        <v>0.97</v>
      </c>
      <c r="J80" s="3">
        <v>86</v>
      </c>
      <c r="K80" s="3">
        <v>99.8</v>
      </c>
      <c r="L80" s="3">
        <v>8</v>
      </c>
      <c r="M80" s="3">
        <v>1650</v>
      </c>
      <c r="N80" s="3">
        <v>4920</v>
      </c>
      <c r="O80" s="3">
        <v>8450</v>
      </c>
      <c r="P80" s="4">
        <v>170000</v>
      </c>
      <c r="Q80" s="3">
        <v>0.14000000000000001</v>
      </c>
      <c r="R80" s="4">
        <v>9600000</v>
      </c>
      <c r="S80" s="4">
        <v>12800000</v>
      </c>
      <c r="T80" s="3">
        <v>5</v>
      </c>
      <c r="U80" s="3">
        <f>data1[[#This Row],[Annual_Operating_Hours]]*data1[[#This Row],[Cost_per_Hour_USD]]</f>
        <v>41574000</v>
      </c>
    </row>
    <row r="81" spans="1:21" x14ac:dyDescent="0.3">
      <c r="A81" s="3" t="s">
        <v>121</v>
      </c>
      <c r="B81" s="3" t="s">
        <v>33</v>
      </c>
      <c r="C81" s="3" t="s">
        <v>34</v>
      </c>
      <c r="D81" s="3" t="s">
        <v>35</v>
      </c>
      <c r="E81" s="1">
        <v>45897</v>
      </c>
      <c r="F81" s="3" t="s">
        <v>18</v>
      </c>
      <c r="G81" s="3" t="s">
        <v>37</v>
      </c>
      <c r="H81" s="3" t="s">
        <v>26</v>
      </c>
      <c r="I81" s="3">
        <v>0.9</v>
      </c>
      <c r="J81" s="3">
        <v>135</v>
      </c>
      <c r="K81" s="3">
        <v>98.2</v>
      </c>
      <c r="L81" s="3">
        <v>17</v>
      </c>
      <c r="M81" s="3">
        <v>915</v>
      </c>
      <c r="N81" s="3">
        <v>3260</v>
      </c>
      <c r="O81" s="3">
        <v>6250</v>
      </c>
      <c r="P81" s="4">
        <v>138000</v>
      </c>
      <c r="Q81" s="3">
        <v>0.16</v>
      </c>
      <c r="R81" s="4">
        <v>7500000</v>
      </c>
      <c r="S81" s="4">
        <v>9250000</v>
      </c>
      <c r="T81" s="3">
        <v>4</v>
      </c>
      <c r="U81" s="3">
        <f>data1[[#This Row],[Annual_Operating_Hours]]*data1[[#This Row],[Cost_per_Hour_USD]]</f>
        <v>20375000</v>
      </c>
    </row>
    <row r="82" spans="1:21" x14ac:dyDescent="0.3">
      <c r="A82" s="3" t="s">
        <v>122</v>
      </c>
      <c r="B82" s="3" t="s">
        <v>15</v>
      </c>
      <c r="C82" s="3" t="s">
        <v>22</v>
      </c>
      <c r="D82" s="3" t="s">
        <v>23</v>
      </c>
      <c r="E82" s="1">
        <v>45905</v>
      </c>
      <c r="F82" s="3" t="s">
        <v>30</v>
      </c>
      <c r="G82" s="3" t="s">
        <v>25</v>
      </c>
      <c r="H82" s="3" t="s">
        <v>26</v>
      </c>
      <c r="I82" s="3">
        <v>0.88</v>
      </c>
      <c r="J82" s="3">
        <v>250</v>
      </c>
      <c r="K82" s="3">
        <v>96.6</v>
      </c>
      <c r="L82" s="3">
        <v>22</v>
      </c>
      <c r="M82" s="3">
        <v>525</v>
      </c>
      <c r="N82" s="3">
        <v>2210</v>
      </c>
      <c r="O82" s="3">
        <v>2550</v>
      </c>
      <c r="P82" s="4">
        <v>128000</v>
      </c>
      <c r="Q82" s="3">
        <v>0.18</v>
      </c>
      <c r="R82" s="4">
        <v>5250000</v>
      </c>
      <c r="S82" s="4">
        <v>3700000</v>
      </c>
      <c r="T82" s="3">
        <v>5</v>
      </c>
      <c r="U82" s="3">
        <f>data1[[#This Row],[Annual_Operating_Hours]]*data1[[#This Row],[Cost_per_Hour_USD]]</f>
        <v>5635500</v>
      </c>
    </row>
    <row r="83" spans="1:21" x14ac:dyDescent="0.3">
      <c r="A83" s="3" t="s">
        <v>123</v>
      </c>
      <c r="B83" s="3" t="s">
        <v>39</v>
      </c>
      <c r="C83" s="3" t="s">
        <v>50</v>
      </c>
      <c r="D83" s="3" t="s">
        <v>40</v>
      </c>
      <c r="E83" s="1">
        <v>45912</v>
      </c>
      <c r="F83" s="3" t="s">
        <v>36</v>
      </c>
      <c r="G83" s="3" t="s">
        <v>51</v>
      </c>
      <c r="H83" s="3" t="s">
        <v>43</v>
      </c>
      <c r="I83" s="3">
        <v>0.93</v>
      </c>
      <c r="J83" s="3">
        <v>190</v>
      </c>
      <c r="K83" s="3">
        <v>99.1</v>
      </c>
      <c r="L83" s="3">
        <v>13</v>
      </c>
      <c r="M83" s="3">
        <v>615</v>
      </c>
      <c r="N83" s="3">
        <v>1710</v>
      </c>
      <c r="O83" s="3">
        <v>2200</v>
      </c>
      <c r="P83" s="4">
        <v>88000</v>
      </c>
      <c r="Q83" s="3">
        <v>0.17</v>
      </c>
      <c r="R83" s="4">
        <v>3920000</v>
      </c>
      <c r="S83" s="4">
        <v>2580000</v>
      </c>
      <c r="T83" s="3">
        <v>3</v>
      </c>
      <c r="U83" s="3">
        <f>data1[[#This Row],[Annual_Operating_Hours]]*data1[[#This Row],[Cost_per_Hour_USD]]</f>
        <v>3762000</v>
      </c>
    </row>
    <row r="84" spans="1:21" x14ac:dyDescent="0.3">
      <c r="A84" s="3" t="s">
        <v>124</v>
      </c>
      <c r="B84" s="3" t="s">
        <v>28</v>
      </c>
      <c r="C84" s="3" t="s">
        <v>16</v>
      </c>
      <c r="D84" s="3" t="s">
        <v>29</v>
      </c>
      <c r="E84" s="1">
        <v>45920</v>
      </c>
      <c r="F84" s="3" t="s">
        <v>24</v>
      </c>
      <c r="G84" s="3" t="s">
        <v>31</v>
      </c>
      <c r="H84" s="3" t="s">
        <v>20</v>
      </c>
      <c r="I84" s="3">
        <v>0.96</v>
      </c>
      <c r="J84" s="3">
        <v>95</v>
      </c>
      <c r="K84" s="3">
        <v>99.6</v>
      </c>
      <c r="L84" s="3">
        <v>10</v>
      </c>
      <c r="M84" s="3">
        <v>1570</v>
      </c>
      <c r="N84" s="3">
        <v>4680</v>
      </c>
      <c r="O84" s="3">
        <v>8200</v>
      </c>
      <c r="P84" s="4">
        <v>155000</v>
      </c>
      <c r="Q84" s="3">
        <v>0.14000000000000001</v>
      </c>
      <c r="R84" s="4">
        <v>9350000</v>
      </c>
      <c r="S84" s="4">
        <v>12400000</v>
      </c>
      <c r="T84" s="3">
        <v>5</v>
      </c>
      <c r="U84" s="3">
        <f>data1[[#This Row],[Annual_Operating_Hours]]*data1[[#This Row],[Cost_per_Hour_USD]]</f>
        <v>38376000</v>
      </c>
    </row>
    <row r="85" spans="1:21" x14ac:dyDescent="0.3">
      <c r="A85" s="3" t="s">
        <v>125</v>
      </c>
      <c r="B85" s="3" t="s">
        <v>33</v>
      </c>
      <c r="C85" s="3" t="s">
        <v>34</v>
      </c>
      <c r="D85" s="3" t="s">
        <v>35</v>
      </c>
      <c r="E85" s="1">
        <v>45928</v>
      </c>
      <c r="F85" s="3" t="s">
        <v>18</v>
      </c>
      <c r="G85" s="3" t="s">
        <v>37</v>
      </c>
      <c r="H85" s="3" t="s">
        <v>20</v>
      </c>
      <c r="I85" s="3">
        <v>0.91</v>
      </c>
      <c r="J85" s="3">
        <v>120</v>
      </c>
      <c r="K85" s="3">
        <v>98.5</v>
      </c>
      <c r="L85" s="3">
        <v>15</v>
      </c>
      <c r="M85" s="3">
        <v>905</v>
      </c>
      <c r="N85" s="3">
        <v>3230</v>
      </c>
      <c r="O85" s="3">
        <v>6200</v>
      </c>
      <c r="P85" s="4">
        <v>134000</v>
      </c>
      <c r="Q85" s="3">
        <v>0.16</v>
      </c>
      <c r="R85" s="4">
        <v>7400000</v>
      </c>
      <c r="S85" s="4">
        <v>9100000</v>
      </c>
      <c r="T85" s="3">
        <v>4</v>
      </c>
      <c r="U85" s="3">
        <f>data1[[#This Row],[Annual_Operating_Hours]]*data1[[#This Row],[Cost_per_Hour_USD]]</f>
        <v>20026000</v>
      </c>
    </row>
    <row r="86" spans="1:21" x14ac:dyDescent="0.3">
      <c r="A86" s="3" t="s">
        <v>126</v>
      </c>
      <c r="B86" s="3" t="s">
        <v>15</v>
      </c>
      <c r="C86" s="3" t="s">
        <v>16</v>
      </c>
      <c r="D86" s="3" t="s">
        <v>17</v>
      </c>
      <c r="E86" s="1">
        <v>45935</v>
      </c>
      <c r="F86" s="3" t="s">
        <v>36</v>
      </c>
      <c r="G86" s="3" t="s">
        <v>19</v>
      </c>
      <c r="H86" s="3" t="s">
        <v>20</v>
      </c>
      <c r="I86" s="3">
        <v>0.93</v>
      </c>
      <c r="J86" s="3">
        <v>175</v>
      </c>
      <c r="K86" s="3">
        <v>99</v>
      </c>
      <c r="L86" s="3">
        <v>11</v>
      </c>
      <c r="M86" s="3">
        <v>425</v>
      </c>
      <c r="N86" s="3">
        <v>1850</v>
      </c>
      <c r="O86" s="3">
        <v>2250</v>
      </c>
      <c r="P86" s="4">
        <v>87000</v>
      </c>
      <c r="Q86" s="3">
        <v>0.18</v>
      </c>
      <c r="R86" s="4">
        <v>4200000</v>
      </c>
      <c r="S86" s="4">
        <v>2810000</v>
      </c>
      <c r="T86" s="3">
        <v>4</v>
      </c>
      <c r="U86" s="3">
        <f>data1[[#This Row],[Annual_Operating_Hours]]*data1[[#This Row],[Cost_per_Hour_USD]]</f>
        <v>4162500</v>
      </c>
    </row>
    <row r="87" spans="1:21" x14ac:dyDescent="0.3">
      <c r="A87" s="3" t="s">
        <v>127</v>
      </c>
      <c r="B87" s="3" t="s">
        <v>39</v>
      </c>
      <c r="C87" s="3" t="s">
        <v>22</v>
      </c>
      <c r="D87" s="3" t="s">
        <v>40</v>
      </c>
      <c r="E87" s="1">
        <v>45942</v>
      </c>
      <c r="F87" s="3" t="s">
        <v>24</v>
      </c>
      <c r="G87" s="3" t="s">
        <v>41</v>
      </c>
      <c r="H87" s="3" t="s">
        <v>26</v>
      </c>
      <c r="I87" s="3">
        <v>0.84</v>
      </c>
      <c r="J87" s="3">
        <v>275</v>
      </c>
      <c r="K87" s="3">
        <v>95.6</v>
      </c>
      <c r="L87" s="3">
        <v>25</v>
      </c>
      <c r="M87" s="3">
        <v>710</v>
      </c>
      <c r="N87" s="3">
        <v>1870</v>
      </c>
      <c r="O87" s="3">
        <v>2600</v>
      </c>
      <c r="P87" s="4">
        <v>138000</v>
      </c>
      <c r="Q87" s="3">
        <v>0.18</v>
      </c>
      <c r="R87" s="4">
        <v>5400000</v>
      </c>
      <c r="S87" s="4">
        <v>3850000</v>
      </c>
      <c r="T87" s="3">
        <v>5</v>
      </c>
      <c r="U87" s="3">
        <f>data1[[#This Row],[Annual_Operating_Hours]]*data1[[#This Row],[Cost_per_Hour_USD]]</f>
        <v>4862000</v>
      </c>
    </row>
    <row r="88" spans="1:21" x14ac:dyDescent="0.3">
      <c r="A88" s="3" t="s">
        <v>128</v>
      </c>
      <c r="B88" s="3" t="s">
        <v>28</v>
      </c>
      <c r="C88" s="3" t="s">
        <v>45</v>
      </c>
      <c r="D88" s="3" t="s">
        <v>29</v>
      </c>
      <c r="E88" s="1">
        <v>45950</v>
      </c>
      <c r="F88" s="3" t="s">
        <v>30</v>
      </c>
      <c r="G88" s="3" t="s">
        <v>46</v>
      </c>
      <c r="H88" s="3" t="s">
        <v>43</v>
      </c>
      <c r="I88" s="3">
        <v>0.98</v>
      </c>
      <c r="J88" s="3">
        <v>82</v>
      </c>
      <c r="K88" s="3">
        <v>99.9</v>
      </c>
      <c r="L88" s="3">
        <v>6</v>
      </c>
      <c r="M88" s="3">
        <v>1660</v>
      </c>
      <c r="N88" s="3">
        <v>4950</v>
      </c>
      <c r="O88" s="3">
        <v>8350</v>
      </c>
      <c r="P88" s="4">
        <v>168000</v>
      </c>
      <c r="Q88" s="3">
        <v>0.14000000000000001</v>
      </c>
      <c r="R88" s="4">
        <v>9600000</v>
      </c>
      <c r="S88" s="4">
        <v>13000000</v>
      </c>
      <c r="T88" s="3">
        <v>5</v>
      </c>
      <c r="U88" s="3">
        <f>data1[[#This Row],[Annual_Operating_Hours]]*data1[[#This Row],[Cost_per_Hour_USD]]</f>
        <v>41332500</v>
      </c>
    </row>
    <row r="89" spans="1:21" x14ac:dyDescent="0.3">
      <c r="A89" s="3" t="s">
        <v>129</v>
      </c>
      <c r="B89" s="3" t="s">
        <v>33</v>
      </c>
      <c r="C89" s="3" t="s">
        <v>34</v>
      </c>
      <c r="D89" s="3" t="s">
        <v>35</v>
      </c>
      <c r="E89" s="1">
        <v>45958</v>
      </c>
      <c r="F89" s="3" t="s">
        <v>18</v>
      </c>
      <c r="G89" s="3" t="s">
        <v>37</v>
      </c>
      <c r="H89" s="3" t="s">
        <v>20</v>
      </c>
      <c r="I89" s="3">
        <v>0.92</v>
      </c>
      <c r="J89" s="3">
        <v>125</v>
      </c>
      <c r="K89" s="3">
        <v>98.4</v>
      </c>
      <c r="L89" s="3">
        <v>16</v>
      </c>
      <c r="M89" s="3">
        <v>928</v>
      </c>
      <c r="N89" s="3">
        <v>3290</v>
      </c>
      <c r="O89" s="3">
        <v>6250</v>
      </c>
      <c r="P89" s="4">
        <v>137000</v>
      </c>
      <c r="Q89" s="3">
        <v>0.16</v>
      </c>
      <c r="R89" s="4">
        <v>7450000</v>
      </c>
      <c r="S89" s="4">
        <v>9200000</v>
      </c>
      <c r="T89" s="3">
        <v>4</v>
      </c>
      <c r="U89" s="3">
        <f>data1[[#This Row],[Annual_Operating_Hours]]*data1[[#This Row],[Cost_per_Hour_USD]]</f>
        <v>20562500</v>
      </c>
    </row>
    <row r="90" spans="1:21" x14ac:dyDescent="0.3">
      <c r="A90" s="3" t="s">
        <v>130</v>
      </c>
      <c r="B90" s="3" t="s">
        <v>15</v>
      </c>
      <c r="C90" s="3" t="s">
        <v>22</v>
      </c>
      <c r="D90" s="3" t="s">
        <v>23</v>
      </c>
      <c r="E90" s="1">
        <v>45966</v>
      </c>
      <c r="F90" s="3" t="s">
        <v>36</v>
      </c>
      <c r="G90" s="3" t="s">
        <v>25</v>
      </c>
      <c r="H90" s="3" t="s">
        <v>26</v>
      </c>
      <c r="I90" s="3">
        <v>0.86</v>
      </c>
      <c r="J90" s="3">
        <v>260</v>
      </c>
      <c r="K90" s="3">
        <v>96.2</v>
      </c>
      <c r="L90" s="3">
        <v>23</v>
      </c>
      <c r="M90" s="3">
        <v>540</v>
      </c>
      <c r="N90" s="3">
        <v>2240</v>
      </c>
      <c r="O90" s="3">
        <v>2500</v>
      </c>
      <c r="P90" s="4">
        <v>126000</v>
      </c>
      <c r="Q90" s="3">
        <v>0.18</v>
      </c>
      <c r="R90" s="4">
        <v>5200000</v>
      </c>
      <c r="S90" s="4">
        <v>3650000</v>
      </c>
      <c r="T90" s="3">
        <v>5</v>
      </c>
      <c r="U90" s="3">
        <f>data1[[#This Row],[Annual_Operating_Hours]]*data1[[#This Row],[Cost_per_Hour_USD]]</f>
        <v>5600000</v>
      </c>
    </row>
    <row r="91" spans="1:21" x14ac:dyDescent="0.3">
      <c r="A91" s="3" t="s">
        <v>131</v>
      </c>
      <c r="B91" s="3" t="s">
        <v>39</v>
      </c>
      <c r="C91" s="3" t="s">
        <v>50</v>
      </c>
      <c r="D91" s="3" t="s">
        <v>40</v>
      </c>
      <c r="E91" s="1">
        <v>45973</v>
      </c>
      <c r="F91" s="3" t="s">
        <v>18</v>
      </c>
      <c r="G91" s="3" t="s">
        <v>51</v>
      </c>
      <c r="H91" s="3" t="s">
        <v>43</v>
      </c>
      <c r="I91" s="3">
        <v>0.92</v>
      </c>
      <c r="J91" s="3">
        <v>200</v>
      </c>
      <c r="K91" s="3">
        <v>98.9</v>
      </c>
      <c r="L91" s="3">
        <v>14</v>
      </c>
      <c r="M91" s="3">
        <v>605</v>
      </c>
      <c r="N91" s="3">
        <v>1740</v>
      </c>
      <c r="O91" s="3">
        <v>2150</v>
      </c>
      <c r="P91" s="4">
        <v>87000</v>
      </c>
      <c r="Q91" s="3">
        <v>0.17</v>
      </c>
      <c r="R91" s="4">
        <v>3750000</v>
      </c>
      <c r="S91" s="4">
        <v>2480000</v>
      </c>
      <c r="T91" s="3">
        <v>3</v>
      </c>
      <c r="U91" s="3">
        <f>data1[[#This Row],[Annual_Operating_Hours]]*data1[[#This Row],[Cost_per_Hour_USD]]</f>
        <v>3741000</v>
      </c>
    </row>
    <row r="92" spans="1:21" x14ac:dyDescent="0.3">
      <c r="A92" s="3" t="s">
        <v>132</v>
      </c>
      <c r="B92" s="3" t="s">
        <v>28</v>
      </c>
      <c r="C92" s="3" t="s">
        <v>16</v>
      </c>
      <c r="D92" s="3" t="s">
        <v>29</v>
      </c>
      <c r="E92" s="1">
        <v>45981</v>
      </c>
      <c r="F92" s="3" t="s">
        <v>30</v>
      </c>
      <c r="G92" s="3" t="s">
        <v>31</v>
      </c>
      <c r="H92" s="3" t="s">
        <v>20</v>
      </c>
      <c r="I92" s="3">
        <v>0.95</v>
      </c>
      <c r="J92" s="3">
        <v>100</v>
      </c>
      <c r="K92" s="3">
        <v>99.5</v>
      </c>
      <c r="L92" s="3">
        <v>10</v>
      </c>
      <c r="M92" s="3">
        <v>1555</v>
      </c>
      <c r="N92" s="3">
        <v>4630</v>
      </c>
      <c r="O92" s="3">
        <v>8100</v>
      </c>
      <c r="P92" s="4">
        <v>150000</v>
      </c>
      <c r="Q92" s="3">
        <v>0.14000000000000001</v>
      </c>
      <c r="R92" s="4">
        <v>9050000</v>
      </c>
      <c r="S92" s="4">
        <v>12200000</v>
      </c>
      <c r="T92" s="3">
        <v>5</v>
      </c>
      <c r="U92" s="3">
        <f>data1[[#This Row],[Annual_Operating_Hours]]*data1[[#This Row],[Cost_per_Hour_USD]]</f>
        <v>37503000</v>
      </c>
    </row>
    <row r="93" spans="1:21" x14ac:dyDescent="0.3">
      <c r="A93" s="3" t="s">
        <v>133</v>
      </c>
      <c r="B93" s="3" t="s">
        <v>33</v>
      </c>
      <c r="C93" s="3" t="s">
        <v>34</v>
      </c>
      <c r="D93" s="3" t="s">
        <v>35</v>
      </c>
      <c r="E93" s="1">
        <v>45989</v>
      </c>
      <c r="F93" s="3" t="s">
        <v>24</v>
      </c>
      <c r="G93" s="3" t="s">
        <v>37</v>
      </c>
      <c r="H93" s="3" t="s">
        <v>26</v>
      </c>
      <c r="I93" s="3">
        <v>0.9</v>
      </c>
      <c r="J93" s="3">
        <v>145</v>
      </c>
      <c r="K93" s="3">
        <v>97.7</v>
      </c>
      <c r="L93" s="3">
        <v>18</v>
      </c>
      <c r="M93" s="3">
        <v>945</v>
      </c>
      <c r="N93" s="3">
        <v>3340</v>
      </c>
      <c r="O93" s="3">
        <v>6200</v>
      </c>
      <c r="P93" s="4">
        <v>135000</v>
      </c>
      <c r="Q93" s="3">
        <v>0.16</v>
      </c>
      <c r="R93" s="4">
        <v>7400000</v>
      </c>
      <c r="S93" s="4">
        <v>9100000</v>
      </c>
      <c r="T93" s="3">
        <v>4</v>
      </c>
      <c r="U93" s="3">
        <f>data1[[#This Row],[Annual_Operating_Hours]]*data1[[#This Row],[Cost_per_Hour_USD]]</f>
        <v>20708000</v>
      </c>
    </row>
    <row r="94" spans="1:21" x14ac:dyDescent="0.3">
      <c r="A94" s="3" t="s">
        <v>134</v>
      </c>
      <c r="B94" s="3" t="s">
        <v>15</v>
      </c>
      <c r="C94" s="3" t="s">
        <v>16</v>
      </c>
      <c r="D94" s="3" t="s">
        <v>17</v>
      </c>
      <c r="E94" s="1">
        <v>45996</v>
      </c>
      <c r="F94" s="3" t="s">
        <v>18</v>
      </c>
      <c r="G94" s="3" t="s">
        <v>19</v>
      </c>
      <c r="H94" s="3" t="s">
        <v>43</v>
      </c>
      <c r="I94" s="3">
        <v>0.94</v>
      </c>
      <c r="J94" s="3">
        <v>170</v>
      </c>
      <c r="K94" s="3">
        <v>99.3</v>
      </c>
      <c r="L94" s="3">
        <v>11</v>
      </c>
      <c r="M94" s="3">
        <v>420</v>
      </c>
      <c r="N94" s="3">
        <v>1840</v>
      </c>
      <c r="O94" s="3">
        <v>2300</v>
      </c>
      <c r="P94" s="4">
        <v>88000</v>
      </c>
      <c r="Q94" s="3">
        <v>0.18</v>
      </c>
      <c r="R94" s="4">
        <v>4250000</v>
      </c>
      <c r="S94" s="4">
        <v>2800000</v>
      </c>
      <c r="T94" s="3">
        <v>4</v>
      </c>
      <c r="U94" s="3">
        <f>data1[[#This Row],[Annual_Operating_Hours]]*data1[[#This Row],[Cost_per_Hour_USD]]</f>
        <v>4232000</v>
      </c>
    </row>
    <row r="95" spans="1:21" x14ac:dyDescent="0.3">
      <c r="A95" s="3" t="s">
        <v>135</v>
      </c>
      <c r="B95" s="3" t="s">
        <v>39</v>
      </c>
      <c r="C95" s="3" t="s">
        <v>22</v>
      </c>
      <c r="D95" s="3" t="s">
        <v>40</v>
      </c>
      <c r="E95" s="1">
        <v>46003</v>
      </c>
      <c r="F95" s="3" t="s">
        <v>36</v>
      </c>
      <c r="G95" s="3" t="s">
        <v>41</v>
      </c>
      <c r="H95" s="3" t="s">
        <v>20</v>
      </c>
      <c r="I95" s="3">
        <v>0.87</v>
      </c>
      <c r="J95" s="3">
        <v>255</v>
      </c>
      <c r="K95" s="3">
        <v>97</v>
      </c>
      <c r="L95" s="3">
        <v>22</v>
      </c>
      <c r="M95" s="3">
        <v>665</v>
      </c>
      <c r="N95" s="3">
        <v>1800</v>
      </c>
      <c r="O95" s="3">
        <v>2050</v>
      </c>
      <c r="P95" s="4">
        <v>93000</v>
      </c>
      <c r="Q95" s="3">
        <v>0.17</v>
      </c>
      <c r="R95" s="4">
        <v>3850000</v>
      </c>
      <c r="S95" s="4">
        <v>2550000</v>
      </c>
      <c r="T95" s="3">
        <v>3</v>
      </c>
      <c r="U95" s="3">
        <f>data1[[#This Row],[Annual_Operating_Hours]]*data1[[#This Row],[Cost_per_Hour_USD]]</f>
        <v>3690000</v>
      </c>
    </row>
    <row r="96" spans="1:21" x14ac:dyDescent="0.3">
      <c r="A96" s="3" t="s">
        <v>136</v>
      </c>
      <c r="B96" s="3" t="s">
        <v>28</v>
      </c>
      <c r="C96" s="3" t="s">
        <v>45</v>
      </c>
      <c r="D96" s="3" t="s">
        <v>29</v>
      </c>
      <c r="E96" s="1">
        <v>46011</v>
      </c>
      <c r="F96" s="3" t="s">
        <v>24</v>
      </c>
      <c r="G96" s="3" t="s">
        <v>46</v>
      </c>
      <c r="H96" s="3" t="s">
        <v>43</v>
      </c>
      <c r="I96" s="3">
        <v>0.97</v>
      </c>
      <c r="J96" s="3">
        <v>88</v>
      </c>
      <c r="K96" s="3">
        <v>99.8</v>
      </c>
      <c r="L96" s="3">
        <v>7</v>
      </c>
      <c r="M96" s="3">
        <v>1630</v>
      </c>
      <c r="N96" s="3">
        <v>4880</v>
      </c>
      <c r="O96" s="3">
        <v>8250</v>
      </c>
      <c r="P96" s="4">
        <v>160000</v>
      </c>
      <c r="Q96" s="3">
        <v>0.14000000000000001</v>
      </c>
      <c r="R96" s="4">
        <v>9400000</v>
      </c>
      <c r="S96" s="4">
        <v>12500000</v>
      </c>
      <c r="T96" s="3">
        <v>5</v>
      </c>
      <c r="U96" s="3">
        <f>data1[[#This Row],[Annual_Operating_Hours]]*data1[[#This Row],[Cost_per_Hour_USD]]</f>
        <v>40260000</v>
      </c>
    </row>
    <row r="97" spans="1:21" x14ac:dyDescent="0.3">
      <c r="A97" s="3" t="s">
        <v>137</v>
      </c>
      <c r="B97" s="3" t="s">
        <v>33</v>
      </c>
      <c r="C97" s="3" t="s">
        <v>34</v>
      </c>
      <c r="D97" s="3" t="s">
        <v>35</v>
      </c>
      <c r="E97" s="1">
        <v>46019</v>
      </c>
      <c r="F97" s="3" t="s">
        <v>30</v>
      </c>
      <c r="G97" s="3" t="s">
        <v>37</v>
      </c>
      <c r="H97" s="3" t="s">
        <v>20</v>
      </c>
      <c r="I97" s="3">
        <v>0.91</v>
      </c>
      <c r="J97" s="3">
        <v>130</v>
      </c>
      <c r="K97" s="3">
        <v>98.3</v>
      </c>
      <c r="L97" s="3">
        <v>15</v>
      </c>
      <c r="M97" s="3">
        <v>930</v>
      </c>
      <c r="N97" s="3">
        <v>3280</v>
      </c>
      <c r="O97" s="3">
        <v>6150</v>
      </c>
      <c r="P97" s="4">
        <v>140000</v>
      </c>
      <c r="Q97" s="3">
        <v>0.16</v>
      </c>
      <c r="R97" s="4">
        <v>7500000</v>
      </c>
      <c r="S97" s="4">
        <v>9300000</v>
      </c>
      <c r="T97" s="3">
        <v>4</v>
      </c>
      <c r="U97" s="3">
        <f>data1[[#This Row],[Annual_Operating_Hours]]*data1[[#This Row],[Cost_per_Hour_USD]]</f>
        <v>20172000</v>
      </c>
    </row>
    <row r="98" spans="1:21" x14ac:dyDescent="0.3">
      <c r="A98" s="3" t="s">
        <v>138</v>
      </c>
      <c r="B98" s="3" t="s">
        <v>15</v>
      </c>
      <c r="C98" s="3" t="s">
        <v>22</v>
      </c>
      <c r="D98" s="3" t="s">
        <v>23</v>
      </c>
      <c r="E98" s="1">
        <v>46027</v>
      </c>
      <c r="F98" s="3" t="s">
        <v>18</v>
      </c>
      <c r="G98" s="3" t="s">
        <v>25</v>
      </c>
      <c r="H98" s="3" t="s">
        <v>26</v>
      </c>
      <c r="I98" s="3">
        <v>0.87</v>
      </c>
      <c r="J98" s="3">
        <v>245</v>
      </c>
      <c r="K98" s="3">
        <v>96.7</v>
      </c>
      <c r="L98" s="3">
        <v>21</v>
      </c>
      <c r="M98" s="3">
        <v>520</v>
      </c>
      <c r="N98" s="3">
        <v>2200</v>
      </c>
      <c r="O98" s="3">
        <v>2450</v>
      </c>
      <c r="P98" s="4">
        <v>129000</v>
      </c>
      <c r="Q98" s="3">
        <v>0.18</v>
      </c>
      <c r="R98" s="4">
        <v>5320000</v>
      </c>
      <c r="S98" s="4">
        <v>3720000</v>
      </c>
      <c r="T98" s="3">
        <v>5</v>
      </c>
      <c r="U98" s="3">
        <f>data1[[#This Row],[Annual_Operating_Hours]]*data1[[#This Row],[Cost_per_Hour_USD]]</f>
        <v>5390000</v>
      </c>
    </row>
    <row r="99" spans="1:21" x14ac:dyDescent="0.3">
      <c r="A99" s="3" t="s">
        <v>139</v>
      </c>
      <c r="B99" s="3" t="s">
        <v>39</v>
      </c>
      <c r="C99" s="3" t="s">
        <v>50</v>
      </c>
      <c r="D99" s="3" t="s">
        <v>40</v>
      </c>
      <c r="E99" s="1">
        <v>46034</v>
      </c>
      <c r="F99" s="3" t="s">
        <v>24</v>
      </c>
      <c r="G99" s="3" t="s">
        <v>51</v>
      </c>
      <c r="H99" s="3" t="s">
        <v>43</v>
      </c>
      <c r="I99" s="3">
        <v>0.93</v>
      </c>
      <c r="J99" s="3">
        <v>190</v>
      </c>
      <c r="K99" s="3">
        <v>99.1</v>
      </c>
      <c r="L99" s="3">
        <v>13</v>
      </c>
      <c r="M99" s="3">
        <v>620</v>
      </c>
      <c r="N99" s="3">
        <v>1720</v>
      </c>
      <c r="O99" s="3">
        <v>2100</v>
      </c>
      <c r="P99" s="4">
        <v>87000</v>
      </c>
      <c r="Q99" s="3">
        <v>0.17</v>
      </c>
      <c r="R99" s="4">
        <v>3800000</v>
      </c>
      <c r="S99" s="4">
        <v>2550000</v>
      </c>
      <c r="T99" s="3">
        <v>3</v>
      </c>
      <c r="U99" s="3">
        <f>data1[[#This Row],[Annual_Operating_Hours]]*data1[[#This Row],[Cost_per_Hour_USD]]</f>
        <v>3612000</v>
      </c>
    </row>
    <row r="100" spans="1:21" x14ac:dyDescent="0.3">
      <c r="A100" s="3" t="s">
        <v>140</v>
      </c>
      <c r="B100" s="3" t="s">
        <v>28</v>
      </c>
      <c r="C100" s="3" t="s">
        <v>16</v>
      </c>
      <c r="D100" s="3" t="s">
        <v>29</v>
      </c>
      <c r="E100" s="1">
        <v>46042</v>
      </c>
      <c r="F100" s="3" t="s">
        <v>36</v>
      </c>
      <c r="G100" s="3" t="s">
        <v>31</v>
      </c>
      <c r="H100" s="3" t="s">
        <v>20</v>
      </c>
      <c r="I100" s="3">
        <v>0.96</v>
      </c>
      <c r="J100" s="3">
        <v>95</v>
      </c>
      <c r="K100" s="3">
        <v>99.6</v>
      </c>
      <c r="L100" s="3">
        <v>9</v>
      </c>
      <c r="M100" s="3">
        <v>1550</v>
      </c>
      <c r="N100" s="3">
        <v>4650</v>
      </c>
      <c r="O100" s="3">
        <v>8200</v>
      </c>
      <c r="P100" s="4">
        <v>150000</v>
      </c>
      <c r="Q100" s="3">
        <v>0.14000000000000001</v>
      </c>
      <c r="R100" s="4">
        <v>9150000</v>
      </c>
      <c r="S100" s="4">
        <v>12100000</v>
      </c>
      <c r="T100" s="3">
        <v>5</v>
      </c>
      <c r="U100" s="3">
        <f>data1[[#This Row],[Annual_Operating_Hours]]*data1[[#This Row],[Cost_per_Hour_USD]]</f>
        <v>38130000</v>
      </c>
    </row>
    <row r="101" spans="1:21" x14ac:dyDescent="0.3">
      <c r="A101" s="3" t="s">
        <v>141</v>
      </c>
      <c r="B101" s="3" t="s">
        <v>33</v>
      </c>
      <c r="C101" s="3" t="s">
        <v>34</v>
      </c>
      <c r="D101" s="3" t="s">
        <v>35</v>
      </c>
      <c r="E101" s="1">
        <v>46050</v>
      </c>
      <c r="F101" s="3" t="s">
        <v>30</v>
      </c>
      <c r="G101" s="3" t="s">
        <v>37</v>
      </c>
      <c r="H101" s="3" t="s">
        <v>26</v>
      </c>
      <c r="I101" s="3">
        <v>0.9</v>
      </c>
      <c r="J101" s="3">
        <v>140</v>
      </c>
      <c r="K101" s="3">
        <v>97.8</v>
      </c>
      <c r="L101" s="3">
        <v>17</v>
      </c>
      <c r="M101" s="3">
        <v>940</v>
      </c>
      <c r="N101" s="3">
        <v>3320</v>
      </c>
      <c r="O101" s="3">
        <v>6300</v>
      </c>
      <c r="P101" s="4">
        <v>138000</v>
      </c>
      <c r="Q101" s="3">
        <v>0.16</v>
      </c>
      <c r="R101" s="4">
        <v>7500000</v>
      </c>
      <c r="S101" s="4">
        <v>9250000</v>
      </c>
      <c r="T101" s="3">
        <v>4</v>
      </c>
      <c r="U101" s="3">
        <f>data1[[#This Row],[Annual_Operating_Hours]]*data1[[#This Row],[Cost_per_Hour_USD]]</f>
        <v>20916000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CB8D-86E1-4912-826D-71331CD66EE6}">
  <dimension ref="A1:G101"/>
  <sheetViews>
    <sheetView topLeftCell="A77" workbookViewId="0">
      <selection activeCell="B1" sqref="B1:G101"/>
    </sheetView>
  </sheetViews>
  <sheetFormatPr defaultRowHeight="14.4" x14ac:dyDescent="0.3"/>
  <cols>
    <col min="1" max="1" width="14.44140625" style="3" customWidth="1"/>
    <col min="2" max="2" width="26.109375" style="3" bestFit="1" customWidth="1"/>
    <col min="3" max="3" width="33.21875" style="4" bestFit="1" customWidth="1"/>
    <col min="4" max="4" width="28.109375" style="3" bestFit="1" customWidth="1"/>
    <col min="5" max="5" width="33" style="4" bestFit="1" customWidth="1"/>
    <col min="6" max="6" width="27.109375" style="4" bestFit="1" customWidth="1"/>
    <col min="7" max="7" width="22.6640625" style="3" bestFit="1" customWidth="1"/>
  </cols>
  <sheetData>
    <row r="1" spans="1:7" x14ac:dyDescent="0.3">
      <c r="A1" s="3" t="s">
        <v>0</v>
      </c>
      <c r="B1" s="3" t="s">
        <v>142</v>
      </c>
      <c r="C1" s="4" t="s">
        <v>143</v>
      </c>
      <c r="D1" s="3" t="s">
        <v>144</v>
      </c>
      <c r="E1" s="4" t="s">
        <v>145</v>
      </c>
      <c r="F1" s="4" t="s">
        <v>146</v>
      </c>
      <c r="G1" s="3" t="s">
        <v>147</v>
      </c>
    </row>
    <row r="2" spans="1:7" x14ac:dyDescent="0.3">
      <c r="A2" s="3" t="s">
        <v>14</v>
      </c>
      <c r="B2" s="3">
        <v>2200</v>
      </c>
      <c r="C2" s="4">
        <v>85000</v>
      </c>
      <c r="D2" s="3">
        <v>0.18</v>
      </c>
      <c r="E2" s="4">
        <v>4100000</v>
      </c>
      <c r="F2" s="4">
        <v>2800000</v>
      </c>
      <c r="G2" s="3">
        <v>4</v>
      </c>
    </row>
    <row r="3" spans="1:7" x14ac:dyDescent="0.3">
      <c r="A3" s="3" t="s">
        <v>21</v>
      </c>
      <c r="B3" s="3">
        <v>2400</v>
      </c>
      <c r="C3" s="4">
        <v>120000</v>
      </c>
      <c r="D3" s="3">
        <v>0.18</v>
      </c>
      <c r="E3" s="4">
        <v>5100000</v>
      </c>
      <c r="F3" s="4">
        <v>3500000</v>
      </c>
      <c r="G3" s="3">
        <v>5</v>
      </c>
    </row>
    <row r="4" spans="1:7" x14ac:dyDescent="0.3">
      <c r="A4" s="3" t="s">
        <v>27</v>
      </c>
      <c r="B4" s="3">
        <v>8000</v>
      </c>
      <c r="C4" s="4">
        <v>150000</v>
      </c>
      <c r="D4" s="3">
        <v>0.14000000000000001</v>
      </c>
      <c r="E4" s="4">
        <v>9100000</v>
      </c>
      <c r="F4" s="4">
        <v>12000000</v>
      </c>
      <c r="G4" s="3">
        <v>5</v>
      </c>
    </row>
    <row r="5" spans="1:7" x14ac:dyDescent="0.3">
      <c r="A5" s="3" t="s">
        <v>32</v>
      </c>
      <c r="B5" s="3">
        <v>6000</v>
      </c>
      <c r="C5" s="4">
        <v>130000</v>
      </c>
      <c r="D5" s="3">
        <v>0.16</v>
      </c>
      <c r="E5" s="4">
        <v>7200000</v>
      </c>
      <c r="F5" s="4">
        <v>9000000</v>
      </c>
      <c r="G5" s="3">
        <v>5</v>
      </c>
    </row>
    <row r="6" spans="1:7" x14ac:dyDescent="0.3">
      <c r="A6" s="3" t="s">
        <v>38</v>
      </c>
      <c r="B6" s="3">
        <v>2000</v>
      </c>
      <c r="C6" s="4">
        <v>90000</v>
      </c>
      <c r="D6" s="3">
        <v>0.17</v>
      </c>
      <c r="E6" s="4">
        <v>3600000</v>
      </c>
      <c r="F6" s="4">
        <v>2600000</v>
      </c>
      <c r="G6" s="3">
        <v>3</v>
      </c>
    </row>
    <row r="7" spans="1:7" x14ac:dyDescent="0.3">
      <c r="A7" s="3" t="s">
        <v>42</v>
      </c>
      <c r="B7" s="3">
        <v>2300</v>
      </c>
      <c r="C7" s="4">
        <v>82000</v>
      </c>
      <c r="D7" s="3">
        <v>0.18</v>
      </c>
      <c r="E7" s="4">
        <v>4200000</v>
      </c>
      <c r="F7" s="4">
        <v>2800000</v>
      </c>
      <c r="G7" s="3">
        <v>4</v>
      </c>
    </row>
    <row r="8" spans="1:7" x14ac:dyDescent="0.3">
      <c r="A8" s="3" t="s">
        <v>44</v>
      </c>
      <c r="B8" s="3">
        <v>8200</v>
      </c>
      <c r="C8" s="4">
        <v>160000</v>
      </c>
      <c r="D8" s="3">
        <v>0.14000000000000001</v>
      </c>
      <c r="E8" s="4">
        <v>9400000</v>
      </c>
      <c r="F8" s="4">
        <v>12500000</v>
      </c>
      <c r="G8" s="3">
        <v>5</v>
      </c>
    </row>
    <row r="9" spans="1:7" x14ac:dyDescent="0.3">
      <c r="A9" s="3" t="s">
        <v>47</v>
      </c>
      <c r="B9" s="3">
        <v>6200</v>
      </c>
      <c r="C9" s="4">
        <v>140000</v>
      </c>
      <c r="D9" s="3">
        <v>0.16</v>
      </c>
      <c r="E9" s="4">
        <v>7500000</v>
      </c>
      <c r="F9" s="4">
        <v>9200000</v>
      </c>
      <c r="G9" s="3">
        <v>5</v>
      </c>
    </row>
    <row r="10" spans="1:7" x14ac:dyDescent="0.3">
      <c r="A10" s="3" t="s">
        <v>48</v>
      </c>
      <c r="B10" s="3">
        <v>2400</v>
      </c>
      <c r="C10" s="4">
        <v>125000</v>
      </c>
      <c r="D10" s="3">
        <v>0.18</v>
      </c>
      <c r="E10" s="4">
        <v>5200000</v>
      </c>
      <c r="F10" s="4">
        <v>3600000</v>
      </c>
      <c r="G10" s="3">
        <v>5</v>
      </c>
    </row>
    <row r="11" spans="1:7" x14ac:dyDescent="0.3">
      <c r="A11" s="3" t="s">
        <v>49</v>
      </c>
      <c r="B11" s="3">
        <v>2100</v>
      </c>
      <c r="C11" s="4">
        <v>88000</v>
      </c>
      <c r="D11" s="3">
        <v>0.17</v>
      </c>
      <c r="E11" s="4">
        <v>3700000</v>
      </c>
      <c r="F11" s="4">
        <v>2500000</v>
      </c>
      <c r="G11" s="3">
        <v>3</v>
      </c>
    </row>
    <row r="12" spans="1:7" x14ac:dyDescent="0.3">
      <c r="A12" s="3" t="s">
        <v>52</v>
      </c>
      <c r="B12" s="3">
        <v>8100</v>
      </c>
      <c r="C12" s="4">
        <v>150000</v>
      </c>
      <c r="D12" s="3">
        <v>0.14000000000000001</v>
      </c>
      <c r="E12" s="4">
        <v>9000000</v>
      </c>
      <c r="F12" s="4">
        <v>12000000</v>
      </c>
      <c r="G12" s="3">
        <v>5</v>
      </c>
    </row>
    <row r="13" spans="1:7" x14ac:dyDescent="0.3">
      <c r="A13" s="3" t="s">
        <v>53</v>
      </c>
      <c r="B13" s="3">
        <v>6100</v>
      </c>
      <c r="C13" s="4">
        <v>132000</v>
      </c>
      <c r="D13" s="3">
        <v>0.16</v>
      </c>
      <c r="E13" s="4">
        <v>7300000</v>
      </c>
      <c r="F13" s="4">
        <v>9100000</v>
      </c>
      <c r="G13" s="3">
        <v>4</v>
      </c>
    </row>
    <row r="14" spans="1:7" x14ac:dyDescent="0.3">
      <c r="A14" s="3" t="s">
        <v>54</v>
      </c>
      <c r="B14" s="3">
        <v>2300</v>
      </c>
      <c r="C14" s="4">
        <v>90000</v>
      </c>
      <c r="D14" s="3">
        <v>0.18</v>
      </c>
      <c r="E14" s="4">
        <v>4300000</v>
      </c>
      <c r="F14" s="4">
        <v>2900000</v>
      </c>
      <c r="G14" s="3">
        <v>4</v>
      </c>
    </row>
    <row r="15" spans="1:7" x14ac:dyDescent="0.3">
      <c r="A15" s="3" t="s">
        <v>55</v>
      </c>
      <c r="B15" s="3">
        <v>2100</v>
      </c>
      <c r="C15" s="4">
        <v>95000</v>
      </c>
      <c r="D15" s="3">
        <v>0.17</v>
      </c>
      <c r="E15" s="4">
        <v>3800000</v>
      </c>
      <c r="F15" s="4">
        <v>2700000</v>
      </c>
      <c r="G15" s="3">
        <v>3</v>
      </c>
    </row>
    <row r="16" spans="1:7" x14ac:dyDescent="0.3">
      <c r="A16" s="3" t="s">
        <v>56</v>
      </c>
      <c r="B16" s="3">
        <v>8300</v>
      </c>
      <c r="C16" s="4">
        <v>170000</v>
      </c>
      <c r="D16" s="3">
        <v>0.14000000000000001</v>
      </c>
      <c r="E16" s="4">
        <v>9600000</v>
      </c>
      <c r="F16" s="4">
        <v>13000000</v>
      </c>
      <c r="G16" s="3">
        <v>5</v>
      </c>
    </row>
    <row r="17" spans="1:7" x14ac:dyDescent="0.3">
      <c r="A17" s="3" t="s">
        <v>57</v>
      </c>
      <c r="B17" s="3">
        <v>6200</v>
      </c>
      <c r="C17" s="4">
        <v>145000</v>
      </c>
      <c r="D17" s="3">
        <v>0.16</v>
      </c>
      <c r="E17" s="4">
        <v>7600000</v>
      </c>
      <c r="F17" s="4">
        <v>9400000</v>
      </c>
      <c r="G17" s="3">
        <v>5</v>
      </c>
    </row>
    <row r="18" spans="1:7" x14ac:dyDescent="0.3">
      <c r="A18" s="3" t="s">
        <v>58</v>
      </c>
      <c r="B18" s="3">
        <v>2500</v>
      </c>
      <c r="C18" s="4">
        <v>130000</v>
      </c>
      <c r="D18" s="3">
        <v>0.18</v>
      </c>
      <c r="E18" s="4">
        <v>5300000</v>
      </c>
      <c r="F18" s="4">
        <v>3700000</v>
      </c>
      <c r="G18" s="3">
        <v>5</v>
      </c>
    </row>
    <row r="19" spans="1:7" x14ac:dyDescent="0.3">
      <c r="A19" s="3" t="s">
        <v>59</v>
      </c>
      <c r="B19" s="3">
        <v>2200</v>
      </c>
      <c r="C19" s="4">
        <v>87000</v>
      </c>
      <c r="D19" s="3">
        <v>0.17</v>
      </c>
      <c r="E19" s="4">
        <v>3900000</v>
      </c>
      <c r="F19" s="4">
        <v>2550000</v>
      </c>
      <c r="G19" s="3">
        <v>3</v>
      </c>
    </row>
    <row r="20" spans="1:7" x14ac:dyDescent="0.3">
      <c r="A20" s="3" t="s">
        <v>60</v>
      </c>
      <c r="B20" s="3">
        <v>8200</v>
      </c>
      <c r="C20" s="4">
        <v>155000</v>
      </c>
      <c r="D20" s="3">
        <v>0.14000000000000001</v>
      </c>
      <c r="E20" s="4">
        <v>9300000</v>
      </c>
      <c r="F20" s="4">
        <v>12300000</v>
      </c>
      <c r="G20" s="3">
        <v>5</v>
      </c>
    </row>
    <row r="21" spans="1:7" x14ac:dyDescent="0.3">
      <c r="A21" s="3" t="s">
        <v>61</v>
      </c>
      <c r="B21" s="3">
        <v>6000</v>
      </c>
      <c r="C21" s="4">
        <v>135000</v>
      </c>
      <c r="D21" s="3">
        <v>0.16</v>
      </c>
      <c r="E21" s="4">
        <v>7400000</v>
      </c>
      <c r="F21" s="4">
        <v>9200000</v>
      </c>
      <c r="G21" s="3">
        <v>4</v>
      </c>
    </row>
    <row r="22" spans="1:7" x14ac:dyDescent="0.3">
      <c r="A22" s="3" t="s">
        <v>62</v>
      </c>
      <c r="B22" s="3">
        <v>2250</v>
      </c>
      <c r="C22" s="4">
        <v>89000</v>
      </c>
      <c r="D22" s="3">
        <v>0.18</v>
      </c>
      <c r="E22" s="4">
        <v>4250000</v>
      </c>
      <c r="F22" s="4">
        <v>2850000</v>
      </c>
      <c r="G22" s="3">
        <v>4</v>
      </c>
    </row>
    <row r="23" spans="1:7" x14ac:dyDescent="0.3">
      <c r="A23" s="3" t="s">
        <v>63</v>
      </c>
      <c r="B23" s="3">
        <v>2600</v>
      </c>
      <c r="C23" s="4">
        <v>140000</v>
      </c>
      <c r="D23" s="3">
        <v>0.18</v>
      </c>
      <c r="E23" s="4">
        <v>5400000</v>
      </c>
      <c r="F23" s="4">
        <v>3900000</v>
      </c>
      <c r="G23" s="3">
        <v>5</v>
      </c>
    </row>
    <row r="24" spans="1:7" x14ac:dyDescent="0.3">
      <c r="A24" s="3" t="s">
        <v>64</v>
      </c>
      <c r="B24" s="3">
        <v>8250</v>
      </c>
      <c r="C24" s="4">
        <v>165000</v>
      </c>
      <c r="D24" s="3">
        <v>0.14000000000000001</v>
      </c>
      <c r="E24" s="4">
        <v>9500000</v>
      </c>
      <c r="F24" s="4">
        <v>12800000</v>
      </c>
      <c r="G24" s="3">
        <v>5</v>
      </c>
    </row>
    <row r="25" spans="1:7" x14ac:dyDescent="0.3">
      <c r="A25" s="3" t="s">
        <v>65</v>
      </c>
      <c r="B25" s="3">
        <v>6100</v>
      </c>
      <c r="C25" s="4">
        <v>133000</v>
      </c>
      <c r="D25" s="3">
        <v>0.16</v>
      </c>
      <c r="E25" s="4">
        <v>7350000</v>
      </c>
      <c r="F25" s="4">
        <v>9150000</v>
      </c>
      <c r="G25" s="3">
        <v>4</v>
      </c>
    </row>
    <row r="26" spans="1:7" x14ac:dyDescent="0.3">
      <c r="A26" s="3" t="s">
        <v>66</v>
      </c>
      <c r="B26" s="3">
        <v>2450</v>
      </c>
      <c r="C26" s="4">
        <v>126000</v>
      </c>
      <c r="D26" s="3">
        <v>0.18</v>
      </c>
      <c r="E26" s="4">
        <v>5150000</v>
      </c>
      <c r="F26" s="4">
        <v>3550000</v>
      </c>
      <c r="G26" s="3">
        <v>5</v>
      </c>
    </row>
    <row r="27" spans="1:7" x14ac:dyDescent="0.3">
      <c r="A27" s="3" t="s">
        <v>67</v>
      </c>
      <c r="B27" s="3">
        <v>8100</v>
      </c>
      <c r="C27" s="4">
        <v>152000</v>
      </c>
      <c r="D27" s="3">
        <v>0.14000000000000001</v>
      </c>
      <c r="E27" s="4">
        <v>9050000</v>
      </c>
      <c r="F27" s="4">
        <v>12100000</v>
      </c>
      <c r="G27" s="3">
        <v>5</v>
      </c>
    </row>
    <row r="28" spans="1:7" x14ac:dyDescent="0.3">
      <c r="A28" s="3" t="s">
        <v>68</v>
      </c>
      <c r="B28" s="3">
        <v>2150</v>
      </c>
      <c r="C28" s="4">
        <v>88000</v>
      </c>
      <c r="D28" s="3">
        <v>0.17</v>
      </c>
      <c r="E28" s="4">
        <v>3750000</v>
      </c>
      <c r="F28" s="4">
        <v>2480000</v>
      </c>
      <c r="G28" s="3">
        <v>3</v>
      </c>
    </row>
    <row r="29" spans="1:7" x14ac:dyDescent="0.3">
      <c r="A29" s="3" t="s">
        <v>69</v>
      </c>
      <c r="B29" s="3">
        <v>6200</v>
      </c>
      <c r="C29" s="4">
        <v>138000</v>
      </c>
      <c r="D29" s="3">
        <v>0.16</v>
      </c>
      <c r="E29" s="4">
        <v>7550000</v>
      </c>
      <c r="F29" s="4">
        <v>9250000</v>
      </c>
      <c r="G29" s="3">
        <v>5</v>
      </c>
    </row>
    <row r="30" spans="1:7" x14ac:dyDescent="0.3">
      <c r="A30" s="3" t="s">
        <v>70</v>
      </c>
      <c r="B30" s="3">
        <v>2300</v>
      </c>
      <c r="C30" s="4">
        <v>86000</v>
      </c>
      <c r="D30" s="3">
        <v>0.18</v>
      </c>
      <c r="E30" s="4">
        <v>4150000</v>
      </c>
      <c r="F30" s="4">
        <v>2780000</v>
      </c>
      <c r="G30" s="3">
        <v>4</v>
      </c>
    </row>
    <row r="31" spans="1:7" x14ac:dyDescent="0.3">
      <c r="A31" s="3" t="s">
        <v>71</v>
      </c>
      <c r="B31" s="3">
        <v>2000</v>
      </c>
      <c r="C31" s="4">
        <v>93000</v>
      </c>
      <c r="D31" s="3">
        <v>0.17</v>
      </c>
      <c r="E31" s="4">
        <v>3600000</v>
      </c>
      <c r="F31" s="4">
        <v>2550000</v>
      </c>
      <c r="G31" s="3">
        <v>3</v>
      </c>
    </row>
    <row r="32" spans="1:7" x14ac:dyDescent="0.3">
      <c r="A32" s="3" t="s">
        <v>72</v>
      </c>
      <c r="B32" s="3">
        <v>8200</v>
      </c>
      <c r="C32" s="4">
        <v>160000</v>
      </c>
      <c r="D32" s="3">
        <v>0.14000000000000001</v>
      </c>
      <c r="E32" s="4">
        <v>9450000</v>
      </c>
      <c r="F32" s="4">
        <v>12600000</v>
      </c>
      <c r="G32" s="3">
        <v>5</v>
      </c>
    </row>
    <row r="33" spans="1:7" x14ac:dyDescent="0.3">
      <c r="A33" s="3" t="s">
        <v>73</v>
      </c>
      <c r="B33" s="3">
        <v>6100</v>
      </c>
      <c r="C33" s="4">
        <v>139000</v>
      </c>
      <c r="D33" s="3">
        <v>0.16</v>
      </c>
      <c r="E33" s="4">
        <v>7400000</v>
      </c>
      <c r="F33" s="4">
        <v>9170000</v>
      </c>
      <c r="G33" s="3">
        <v>4</v>
      </c>
    </row>
    <row r="34" spans="1:7" x14ac:dyDescent="0.3">
      <c r="A34" s="3" t="s">
        <v>74</v>
      </c>
      <c r="B34" s="3">
        <v>2500</v>
      </c>
      <c r="C34" s="4">
        <v>128000</v>
      </c>
      <c r="D34" s="3">
        <v>0.18</v>
      </c>
      <c r="E34" s="4">
        <v>5250000</v>
      </c>
      <c r="F34" s="4">
        <v>3650000</v>
      </c>
      <c r="G34" s="3">
        <v>5</v>
      </c>
    </row>
    <row r="35" spans="1:7" x14ac:dyDescent="0.3">
      <c r="A35" s="3" t="s">
        <v>75</v>
      </c>
      <c r="B35" s="3">
        <v>2100</v>
      </c>
      <c r="C35" s="4">
        <v>89000</v>
      </c>
      <c r="D35" s="3">
        <v>0.17</v>
      </c>
      <c r="E35" s="4">
        <v>3800000</v>
      </c>
      <c r="F35" s="4">
        <v>2520000</v>
      </c>
      <c r="G35" s="3">
        <v>3</v>
      </c>
    </row>
    <row r="36" spans="1:7" x14ac:dyDescent="0.3">
      <c r="A36" s="3" t="s">
        <v>76</v>
      </c>
      <c r="B36" s="3">
        <v>8300</v>
      </c>
      <c r="C36" s="4">
        <v>158000</v>
      </c>
      <c r="D36" s="3">
        <v>0.14000000000000001</v>
      </c>
      <c r="E36" s="4">
        <v>9150000</v>
      </c>
      <c r="F36" s="4">
        <v>12400000</v>
      </c>
      <c r="G36" s="3">
        <v>5</v>
      </c>
    </row>
    <row r="37" spans="1:7" x14ac:dyDescent="0.3">
      <c r="A37" s="3" t="s">
        <v>77</v>
      </c>
      <c r="B37" s="3">
        <v>6350</v>
      </c>
      <c r="C37" s="4">
        <v>143000</v>
      </c>
      <c r="D37" s="3">
        <v>0.16</v>
      </c>
      <c r="E37" s="4">
        <v>7600000</v>
      </c>
      <c r="F37" s="4">
        <v>9400000</v>
      </c>
      <c r="G37" s="3">
        <v>5</v>
      </c>
    </row>
    <row r="38" spans="1:7" x14ac:dyDescent="0.3">
      <c r="A38" s="3" t="s">
        <v>78</v>
      </c>
      <c r="B38" s="3">
        <v>2250</v>
      </c>
      <c r="C38" s="4">
        <v>91000</v>
      </c>
      <c r="D38" s="3">
        <v>0.18</v>
      </c>
      <c r="E38" s="4">
        <v>4300000</v>
      </c>
      <c r="F38" s="4">
        <v>2850000</v>
      </c>
      <c r="G38" s="3">
        <v>4</v>
      </c>
    </row>
    <row r="39" spans="1:7" x14ac:dyDescent="0.3">
      <c r="A39" s="3" t="s">
        <v>79</v>
      </c>
      <c r="B39" s="3">
        <v>2050</v>
      </c>
      <c r="C39" s="4">
        <v>97000</v>
      </c>
      <c r="D39" s="3">
        <v>0.17</v>
      </c>
      <c r="E39" s="4">
        <v>3850000</v>
      </c>
      <c r="F39" s="4">
        <v>2650000</v>
      </c>
      <c r="G39" s="3">
        <v>3</v>
      </c>
    </row>
    <row r="40" spans="1:7" x14ac:dyDescent="0.3">
      <c r="A40" s="3" t="s">
        <v>80</v>
      </c>
      <c r="B40" s="3">
        <v>8450</v>
      </c>
      <c r="C40" s="4">
        <v>172000</v>
      </c>
      <c r="D40" s="3">
        <v>0.14000000000000001</v>
      </c>
      <c r="E40" s="4">
        <v>9700000</v>
      </c>
      <c r="F40" s="4">
        <v>13200000</v>
      </c>
      <c r="G40" s="3">
        <v>5</v>
      </c>
    </row>
    <row r="41" spans="1:7" x14ac:dyDescent="0.3">
      <c r="A41" s="3" t="s">
        <v>81</v>
      </c>
      <c r="B41" s="3">
        <v>6250</v>
      </c>
      <c r="C41" s="4">
        <v>140000</v>
      </c>
      <c r="D41" s="3">
        <v>0.16</v>
      </c>
      <c r="E41" s="4">
        <v>7500000</v>
      </c>
      <c r="F41" s="4">
        <v>9300000</v>
      </c>
      <c r="G41" s="3">
        <v>5</v>
      </c>
    </row>
    <row r="42" spans="1:7" x14ac:dyDescent="0.3">
      <c r="A42" s="3" t="s">
        <v>82</v>
      </c>
      <c r="B42" s="3">
        <v>2600</v>
      </c>
      <c r="C42" s="4">
        <v>135000</v>
      </c>
      <c r="D42" s="3">
        <v>0.18</v>
      </c>
      <c r="E42" s="4">
        <v>5400000</v>
      </c>
      <c r="F42" s="4">
        <v>3750000</v>
      </c>
      <c r="G42" s="3">
        <v>5</v>
      </c>
    </row>
    <row r="43" spans="1:7" x14ac:dyDescent="0.3">
      <c r="A43" s="3" t="s">
        <v>83</v>
      </c>
      <c r="B43" s="3">
        <v>2200</v>
      </c>
      <c r="C43" s="4">
        <v>87000</v>
      </c>
      <c r="D43" s="3">
        <v>0.17</v>
      </c>
      <c r="E43" s="4">
        <v>3920000</v>
      </c>
      <c r="F43" s="4">
        <v>2580000</v>
      </c>
      <c r="G43" s="3">
        <v>3</v>
      </c>
    </row>
    <row r="44" spans="1:7" x14ac:dyDescent="0.3">
      <c r="A44" s="3" t="s">
        <v>84</v>
      </c>
      <c r="B44" s="3">
        <v>8250</v>
      </c>
      <c r="C44" s="4">
        <v>150000</v>
      </c>
      <c r="D44" s="3">
        <v>0.14000000000000001</v>
      </c>
      <c r="E44" s="4">
        <v>9050000</v>
      </c>
      <c r="F44" s="4">
        <v>12000000</v>
      </c>
      <c r="G44" s="3">
        <v>5</v>
      </c>
    </row>
    <row r="45" spans="1:7" x14ac:dyDescent="0.3">
      <c r="A45" s="3" t="s">
        <v>85</v>
      </c>
      <c r="B45" s="3">
        <v>6150</v>
      </c>
      <c r="C45" s="4">
        <v>137000</v>
      </c>
      <c r="D45" s="3">
        <v>0.16</v>
      </c>
      <c r="E45" s="4">
        <v>7400000</v>
      </c>
      <c r="F45" s="4">
        <v>9150000</v>
      </c>
      <c r="G45" s="3">
        <v>4</v>
      </c>
    </row>
    <row r="46" spans="1:7" x14ac:dyDescent="0.3">
      <c r="A46" s="3" t="s">
        <v>86</v>
      </c>
      <c r="B46" s="3">
        <v>2280</v>
      </c>
      <c r="C46" s="4">
        <v>89000</v>
      </c>
      <c r="D46" s="3">
        <v>0.18</v>
      </c>
      <c r="E46" s="4">
        <v>4250000</v>
      </c>
      <c r="F46" s="4">
        <v>2810000</v>
      </c>
      <c r="G46" s="3">
        <v>4</v>
      </c>
    </row>
    <row r="47" spans="1:7" x14ac:dyDescent="0.3">
      <c r="A47" s="3" t="s">
        <v>87</v>
      </c>
      <c r="B47" s="3">
        <v>2700</v>
      </c>
      <c r="C47" s="4">
        <v>142000</v>
      </c>
      <c r="D47" s="3">
        <v>0.18</v>
      </c>
      <c r="E47" s="4">
        <v>5500000</v>
      </c>
      <c r="F47" s="4">
        <v>3950000</v>
      </c>
      <c r="G47" s="3">
        <v>5</v>
      </c>
    </row>
    <row r="48" spans="1:7" x14ac:dyDescent="0.3">
      <c r="A48" s="3" t="s">
        <v>88</v>
      </c>
      <c r="B48" s="3">
        <v>8400</v>
      </c>
      <c r="C48" s="4">
        <v>165000</v>
      </c>
      <c r="D48" s="3">
        <v>0.14000000000000001</v>
      </c>
      <c r="E48" s="4">
        <v>9550000</v>
      </c>
      <c r="F48" s="4">
        <v>12900000</v>
      </c>
      <c r="G48" s="3">
        <v>5</v>
      </c>
    </row>
    <row r="49" spans="1:7" x14ac:dyDescent="0.3">
      <c r="A49" s="3" t="s">
        <v>89</v>
      </c>
      <c r="B49" s="3">
        <v>6050</v>
      </c>
      <c r="C49" s="4">
        <v>132000</v>
      </c>
      <c r="D49" s="3">
        <v>0.16</v>
      </c>
      <c r="E49" s="4">
        <v>7350000</v>
      </c>
      <c r="F49" s="4">
        <v>9100000</v>
      </c>
      <c r="G49" s="3">
        <v>4</v>
      </c>
    </row>
    <row r="50" spans="1:7" x14ac:dyDescent="0.3">
      <c r="A50" s="3" t="s">
        <v>90</v>
      </c>
      <c r="B50" s="3">
        <v>2450</v>
      </c>
      <c r="C50" s="4">
        <v>125000</v>
      </c>
      <c r="D50" s="3">
        <v>0.18</v>
      </c>
      <c r="E50" s="4">
        <v>5120000</v>
      </c>
      <c r="F50" s="4">
        <v>3550000</v>
      </c>
      <c r="G50" s="3">
        <v>5</v>
      </c>
    </row>
    <row r="51" spans="1:7" x14ac:dyDescent="0.3">
      <c r="A51" s="3" t="s">
        <v>91</v>
      </c>
      <c r="B51" s="3">
        <v>2150</v>
      </c>
      <c r="C51" s="4">
        <v>86000</v>
      </c>
      <c r="D51" s="3">
        <v>0.17</v>
      </c>
      <c r="E51" s="4">
        <v>3750000</v>
      </c>
      <c r="F51" s="4">
        <v>2480000</v>
      </c>
      <c r="G51" s="3">
        <v>3</v>
      </c>
    </row>
    <row r="52" spans="1:7" x14ac:dyDescent="0.3">
      <c r="A52" s="3" t="s">
        <v>92</v>
      </c>
      <c r="B52" s="3">
        <v>8100</v>
      </c>
      <c r="C52" s="4">
        <v>152000</v>
      </c>
      <c r="D52" s="3">
        <v>0.14000000000000001</v>
      </c>
      <c r="E52" s="4">
        <v>9100000</v>
      </c>
      <c r="F52" s="4">
        <v>12150000</v>
      </c>
      <c r="G52" s="3">
        <v>5</v>
      </c>
    </row>
    <row r="53" spans="1:7" x14ac:dyDescent="0.3">
      <c r="A53" s="3" t="s">
        <v>93</v>
      </c>
      <c r="B53" s="3">
        <v>6200</v>
      </c>
      <c r="C53" s="4">
        <v>136000</v>
      </c>
      <c r="D53" s="3">
        <v>0.16</v>
      </c>
      <c r="E53" s="4">
        <v>7450000</v>
      </c>
      <c r="F53" s="4">
        <v>9200000</v>
      </c>
      <c r="G53" s="3">
        <v>5</v>
      </c>
    </row>
    <row r="54" spans="1:7" x14ac:dyDescent="0.3">
      <c r="A54" s="3" t="s">
        <v>94</v>
      </c>
      <c r="B54" s="3">
        <v>2300</v>
      </c>
      <c r="C54" s="4">
        <v>87000</v>
      </c>
      <c r="D54" s="3">
        <v>0.18</v>
      </c>
      <c r="E54" s="4">
        <v>4280000</v>
      </c>
      <c r="F54" s="4">
        <v>2900000</v>
      </c>
      <c r="G54" s="3">
        <v>4</v>
      </c>
    </row>
    <row r="55" spans="1:7" x14ac:dyDescent="0.3">
      <c r="A55" s="3" t="s">
        <v>95</v>
      </c>
      <c r="B55" s="3">
        <v>2050</v>
      </c>
      <c r="C55" s="4">
        <v>94000</v>
      </c>
      <c r="D55" s="3">
        <v>0.17</v>
      </c>
      <c r="E55" s="4">
        <v>3850000</v>
      </c>
      <c r="F55" s="4">
        <v>2650000</v>
      </c>
      <c r="G55" s="3">
        <v>3</v>
      </c>
    </row>
    <row r="56" spans="1:7" x14ac:dyDescent="0.3">
      <c r="A56" s="3" t="s">
        <v>96</v>
      </c>
      <c r="B56" s="3">
        <v>8350</v>
      </c>
      <c r="C56" s="4">
        <v>168000</v>
      </c>
      <c r="D56" s="3">
        <v>0.14000000000000001</v>
      </c>
      <c r="E56" s="4">
        <v>9600000</v>
      </c>
      <c r="F56" s="4">
        <v>13100000</v>
      </c>
      <c r="G56" s="3">
        <v>5</v>
      </c>
    </row>
    <row r="57" spans="1:7" x14ac:dyDescent="0.3">
      <c r="A57" s="3" t="s">
        <v>97</v>
      </c>
      <c r="B57" s="3">
        <v>6300</v>
      </c>
      <c r="C57" s="4">
        <v>142000</v>
      </c>
      <c r="D57" s="3">
        <v>0.16</v>
      </c>
      <c r="E57" s="4">
        <v>7550000</v>
      </c>
      <c r="F57" s="4">
        <v>9300000</v>
      </c>
      <c r="G57" s="3">
        <v>5</v>
      </c>
    </row>
    <row r="58" spans="1:7" x14ac:dyDescent="0.3">
      <c r="A58" s="3" t="s">
        <v>98</v>
      </c>
      <c r="B58" s="3">
        <v>2500</v>
      </c>
      <c r="C58" s="4">
        <v>128000</v>
      </c>
      <c r="D58" s="3">
        <v>0.18</v>
      </c>
      <c r="E58" s="4">
        <v>5200000</v>
      </c>
      <c r="F58" s="4">
        <v>3680000</v>
      </c>
      <c r="G58" s="3">
        <v>5</v>
      </c>
    </row>
    <row r="59" spans="1:7" x14ac:dyDescent="0.3">
      <c r="A59" s="3" t="s">
        <v>99</v>
      </c>
      <c r="B59" s="3">
        <v>2150</v>
      </c>
      <c r="C59" s="4">
        <v>88000</v>
      </c>
      <c r="D59" s="3">
        <v>0.17</v>
      </c>
      <c r="E59" s="4">
        <v>3900000</v>
      </c>
      <c r="F59" s="4">
        <v>2500000</v>
      </c>
      <c r="G59" s="3">
        <v>3</v>
      </c>
    </row>
    <row r="60" spans="1:7" x14ac:dyDescent="0.3">
      <c r="A60" s="3" t="s">
        <v>100</v>
      </c>
      <c r="B60" s="3">
        <v>8200</v>
      </c>
      <c r="C60" s="4">
        <v>153000</v>
      </c>
      <c r="D60" s="3">
        <v>0.14000000000000001</v>
      </c>
      <c r="E60" s="4">
        <v>9150000</v>
      </c>
      <c r="F60" s="4">
        <v>12200000</v>
      </c>
      <c r="G60" s="3">
        <v>5</v>
      </c>
    </row>
    <row r="61" spans="1:7" x14ac:dyDescent="0.3">
      <c r="A61" s="3" t="s">
        <v>101</v>
      </c>
      <c r="B61" s="3">
        <v>6100</v>
      </c>
      <c r="C61" s="4">
        <v>138000</v>
      </c>
      <c r="D61" s="3">
        <v>0.16</v>
      </c>
      <c r="E61" s="4">
        <v>7350000</v>
      </c>
      <c r="F61" s="4">
        <v>9120000</v>
      </c>
      <c r="G61" s="3">
        <v>4</v>
      </c>
    </row>
    <row r="62" spans="1:7" x14ac:dyDescent="0.3">
      <c r="A62" s="3" t="s">
        <v>102</v>
      </c>
      <c r="B62" s="3">
        <v>2290</v>
      </c>
      <c r="C62" s="4">
        <v>90000</v>
      </c>
      <c r="D62" s="3">
        <v>0.18</v>
      </c>
      <c r="E62" s="4">
        <v>4300000</v>
      </c>
      <c r="F62" s="4">
        <v>2820000</v>
      </c>
      <c r="G62" s="3">
        <v>4</v>
      </c>
    </row>
    <row r="63" spans="1:7" x14ac:dyDescent="0.3">
      <c r="A63" s="3" t="s">
        <v>103</v>
      </c>
      <c r="B63" s="3">
        <v>2650</v>
      </c>
      <c r="C63" s="4">
        <v>139000</v>
      </c>
      <c r="D63" s="3">
        <v>0.18</v>
      </c>
      <c r="E63" s="4">
        <v>5480000</v>
      </c>
      <c r="F63" s="4">
        <v>3850000</v>
      </c>
      <c r="G63" s="3">
        <v>5</v>
      </c>
    </row>
    <row r="64" spans="1:7" x14ac:dyDescent="0.3">
      <c r="A64" s="3" t="s">
        <v>104</v>
      </c>
      <c r="B64" s="3">
        <v>8450</v>
      </c>
      <c r="C64" s="4">
        <v>170000</v>
      </c>
      <c r="D64" s="3">
        <v>0.14000000000000001</v>
      </c>
      <c r="E64" s="4">
        <v>9650000</v>
      </c>
      <c r="F64" s="4">
        <v>12900000</v>
      </c>
      <c r="G64" s="3">
        <v>5</v>
      </c>
    </row>
    <row r="65" spans="1:7" x14ac:dyDescent="0.3">
      <c r="A65" s="3" t="s">
        <v>105</v>
      </c>
      <c r="B65" s="3">
        <v>6200</v>
      </c>
      <c r="C65" s="4">
        <v>135000</v>
      </c>
      <c r="D65" s="3">
        <v>0.16</v>
      </c>
      <c r="E65" s="4">
        <v>7450000</v>
      </c>
      <c r="F65" s="4">
        <v>9250000</v>
      </c>
      <c r="G65" s="3">
        <v>5</v>
      </c>
    </row>
    <row r="66" spans="1:7" x14ac:dyDescent="0.3">
      <c r="A66" s="3" t="s">
        <v>106</v>
      </c>
      <c r="B66" s="3">
        <v>2550</v>
      </c>
      <c r="C66" s="4">
        <v>127000</v>
      </c>
      <c r="D66" s="3">
        <v>0.18</v>
      </c>
      <c r="E66" s="4">
        <v>5300000</v>
      </c>
      <c r="F66" s="4">
        <v>3720000</v>
      </c>
      <c r="G66" s="3">
        <v>5</v>
      </c>
    </row>
    <row r="67" spans="1:7" x14ac:dyDescent="0.3">
      <c r="A67" s="3" t="s">
        <v>107</v>
      </c>
      <c r="B67" s="3">
        <v>2250</v>
      </c>
      <c r="C67" s="4">
        <v>87000</v>
      </c>
      <c r="D67" s="3">
        <v>0.17</v>
      </c>
      <c r="E67" s="4">
        <v>3950000</v>
      </c>
      <c r="F67" s="4">
        <v>2600000</v>
      </c>
      <c r="G67" s="3">
        <v>3</v>
      </c>
    </row>
    <row r="68" spans="1:7" x14ac:dyDescent="0.3">
      <c r="A68" s="3" t="s">
        <v>108</v>
      </c>
      <c r="B68" s="3">
        <v>8150</v>
      </c>
      <c r="C68" s="4">
        <v>150000</v>
      </c>
      <c r="D68" s="3">
        <v>0.14000000000000001</v>
      </c>
      <c r="E68" s="4">
        <v>9000000</v>
      </c>
      <c r="F68" s="4">
        <v>12100000</v>
      </c>
      <c r="G68" s="3">
        <v>5</v>
      </c>
    </row>
    <row r="69" spans="1:7" x14ac:dyDescent="0.3">
      <c r="A69" s="3" t="s">
        <v>109</v>
      </c>
      <c r="B69" s="3">
        <v>6150</v>
      </c>
      <c r="C69" s="4">
        <v>137000</v>
      </c>
      <c r="D69" s="3">
        <v>0.16</v>
      </c>
      <c r="E69" s="4">
        <v>7450000</v>
      </c>
      <c r="F69" s="4">
        <v>9170000</v>
      </c>
      <c r="G69" s="3">
        <v>4</v>
      </c>
    </row>
    <row r="70" spans="1:7" x14ac:dyDescent="0.3">
      <c r="A70" s="3" t="s">
        <v>110</v>
      </c>
      <c r="B70" s="3">
        <v>2300</v>
      </c>
      <c r="C70" s="4">
        <v>88000</v>
      </c>
      <c r="D70" s="3">
        <v>0.18</v>
      </c>
      <c r="E70" s="4">
        <v>4200000</v>
      </c>
      <c r="F70" s="4">
        <v>2800000</v>
      </c>
      <c r="G70" s="3">
        <v>4</v>
      </c>
    </row>
    <row r="71" spans="1:7" x14ac:dyDescent="0.3">
      <c r="A71" s="3" t="s">
        <v>111</v>
      </c>
      <c r="B71" s="3">
        <v>2450</v>
      </c>
      <c r="C71" s="4">
        <v>132000</v>
      </c>
      <c r="D71" s="3">
        <v>0.17</v>
      </c>
      <c r="E71" s="4">
        <v>4950000</v>
      </c>
      <c r="F71" s="4">
        <v>3500000</v>
      </c>
      <c r="G71" s="3">
        <v>4</v>
      </c>
    </row>
    <row r="72" spans="1:7" x14ac:dyDescent="0.3">
      <c r="A72" s="3" t="s">
        <v>112</v>
      </c>
      <c r="B72" s="3">
        <v>8300</v>
      </c>
      <c r="C72" s="4">
        <v>165000</v>
      </c>
      <c r="D72" s="3">
        <v>0.14000000000000001</v>
      </c>
      <c r="E72" s="4">
        <v>9500000</v>
      </c>
      <c r="F72" s="4">
        <v>12700000</v>
      </c>
      <c r="G72" s="3">
        <v>5</v>
      </c>
    </row>
    <row r="73" spans="1:7" x14ac:dyDescent="0.3">
      <c r="A73" s="3" t="s">
        <v>113</v>
      </c>
      <c r="B73" s="3">
        <v>6150</v>
      </c>
      <c r="C73" s="4">
        <v>136000</v>
      </c>
      <c r="D73" s="3">
        <v>0.16</v>
      </c>
      <c r="E73" s="4">
        <v>7400000</v>
      </c>
      <c r="F73" s="4">
        <v>9100000</v>
      </c>
      <c r="G73" s="3">
        <v>4</v>
      </c>
    </row>
    <row r="74" spans="1:7" x14ac:dyDescent="0.3">
      <c r="A74" s="3" t="s">
        <v>114</v>
      </c>
      <c r="B74" s="3">
        <v>2480</v>
      </c>
      <c r="C74" s="4">
        <v>125000</v>
      </c>
      <c r="D74" s="3">
        <v>0.18</v>
      </c>
      <c r="E74" s="4">
        <v>5150000</v>
      </c>
      <c r="F74" s="4">
        <v>3580000</v>
      </c>
      <c r="G74" s="3">
        <v>5</v>
      </c>
    </row>
    <row r="75" spans="1:7" x14ac:dyDescent="0.3">
      <c r="A75" s="3" t="s">
        <v>115</v>
      </c>
      <c r="B75" s="3">
        <v>2120</v>
      </c>
      <c r="C75" s="4">
        <v>87000</v>
      </c>
      <c r="D75" s="3">
        <v>0.17</v>
      </c>
      <c r="E75" s="4">
        <v>3700000</v>
      </c>
      <c r="F75" s="4">
        <v>2550000</v>
      </c>
      <c r="G75" s="3">
        <v>3</v>
      </c>
    </row>
    <row r="76" spans="1:7" x14ac:dyDescent="0.3">
      <c r="A76" s="3" t="s">
        <v>116</v>
      </c>
      <c r="B76" s="3">
        <v>8250</v>
      </c>
      <c r="C76" s="4">
        <v>155000</v>
      </c>
      <c r="D76" s="3">
        <v>0.14000000000000001</v>
      </c>
      <c r="E76" s="4">
        <v>9250000</v>
      </c>
      <c r="F76" s="4">
        <v>12500000</v>
      </c>
      <c r="G76" s="3">
        <v>5</v>
      </c>
    </row>
    <row r="77" spans="1:7" x14ac:dyDescent="0.3">
      <c r="A77" s="3" t="s">
        <v>117</v>
      </c>
      <c r="B77" s="3">
        <v>6100</v>
      </c>
      <c r="C77" s="4">
        <v>135000</v>
      </c>
      <c r="D77" s="3">
        <v>0.16</v>
      </c>
      <c r="E77" s="4">
        <v>7400000</v>
      </c>
      <c r="F77" s="4">
        <v>9150000</v>
      </c>
      <c r="G77" s="3">
        <v>4</v>
      </c>
    </row>
    <row r="78" spans="1:7" x14ac:dyDescent="0.3">
      <c r="A78" s="3" t="s">
        <v>118</v>
      </c>
      <c r="B78" s="3">
        <v>2300</v>
      </c>
      <c r="C78" s="4">
        <v>89000</v>
      </c>
      <c r="D78" s="3">
        <v>0.18</v>
      </c>
      <c r="E78" s="4">
        <v>4280000</v>
      </c>
      <c r="F78" s="4">
        <v>2900000</v>
      </c>
      <c r="G78" s="3">
        <v>4</v>
      </c>
    </row>
    <row r="79" spans="1:7" x14ac:dyDescent="0.3">
      <c r="A79" s="3" t="s">
        <v>119</v>
      </c>
      <c r="B79" s="3">
        <v>2000</v>
      </c>
      <c r="C79" s="4">
        <v>94000</v>
      </c>
      <c r="D79" s="3">
        <v>0.17</v>
      </c>
      <c r="E79" s="4">
        <v>3750000</v>
      </c>
      <c r="F79" s="4">
        <v>2600000</v>
      </c>
      <c r="G79" s="3">
        <v>3</v>
      </c>
    </row>
    <row r="80" spans="1:7" x14ac:dyDescent="0.3">
      <c r="A80" s="3" t="s">
        <v>120</v>
      </c>
      <c r="B80" s="3">
        <v>8450</v>
      </c>
      <c r="C80" s="4">
        <v>170000</v>
      </c>
      <c r="D80" s="3">
        <v>0.14000000000000001</v>
      </c>
      <c r="E80" s="4">
        <v>9600000</v>
      </c>
      <c r="F80" s="4">
        <v>12800000</v>
      </c>
      <c r="G80" s="3">
        <v>5</v>
      </c>
    </row>
    <row r="81" spans="1:7" x14ac:dyDescent="0.3">
      <c r="A81" s="3" t="s">
        <v>121</v>
      </c>
      <c r="B81" s="3">
        <v>6250</v>
      </c>
      <c r="C81" s="4">
        <v>138000</v>
      </c>
      <c r="D81" s="3">
        <v>0.16</v>
      </c>
      <c r="E81" s="4">
        <v>7500000</v>
      </c>
      <c r="F81" s="4">
        <v>9250000</v>
      </c>
      <c r="G81" s="3">
        <v>4</v>
      </c>
    </row>
    <row r="82" spans="1:7" x14ac:dyDescent="0.3">
      <c r="A82" s="3" t="s">
        <v>122</v>
      </c>
      <c r="B82" s="3">
        <v>2550</v>
      </c>
      <c r="C82" s="4">
        <v>128000</v>
      </c>
      <c r="D82" s="3">
        <v>0.18</v>
      </c>
      <c r="E82" s="4">
        <v>5250000</v>
      </c>
      <c r="F82" s="4">
        <v>3700000</v>
      </c>
      <c r="G82" s="3">
        <v>5</v>
      </c>
    </row>
    <row r="83" spans="1:7" x14ac:dyDescent="0.3">
      <c r="A83" s="3" t="s">
        <v>123</v>
      </c>
      <c r="B83" s="3">
        <v>2200</v>
      </c>
      <c r="C83" s="4">
        <v>88000</v>
      </c>
      <c r="D83" s="3">
        <v>0.17</v>
      </c>
      <c r="E83" s="4">
        <v>3920000</v>
      </c>
      <c r="F83" s="4">
        <v>2580000</v>
      </c>
      <c r="G83" s="3">
        <v>3</v>
      </c>
    </row>
    <row r="84" spans="1:7" x14ac:dyDescent="0.3">
      <c r="A84" s="3" t="s">
        <v>124</v>
      </c>
      <c r="B84" s="3">
        <v>8200</v>
      </c>
      <c r="C84" s="4">
        <v>155000</v>
      </c>
      <c r="D84" s="3">
        <v>0.14000000000000001</v>
      </c>
      <c r="E84" s="4">
        <v>9350000</v>
      </c>
      <c r="F84" s="4">
        <v>12400000</v>
      </c>
      <c r="G84" s="3">
        <v>5</v>
      </c>
    </row>
    <row r="85" spans="1:7" x14ac:dyDescent="0.3">
      <c r="A85" s="3" t="s">
        <v>125</v>
      </c>
      <c r="B85" s="3">
        <v>6200</v>
      </c>
      <c r="C85" s="4">
        <v>134000</v>
      </c>
      <c r="D85" s="3">
        <v>0.16</v>
      </c>
      <c r="E85" s="4">
        <v>7400000</v>
      </c>
      <c r="F85" s="4">
        <v>9100000</v>
      </c>
      <c r="G85" s="3">
        <v>4</v>
      </c>
    </row>
    <row r="86" spans="1:7" x14ac:dyDescent="0.3">
      <c r="A86" s="3" t="s">
        <v>126</v>
      </c>
      <c r="B86" s="3">
        <v>2250</v>
      </c>
      <c r="C86" s="4">
        <v>87000</v>
      </c>
      <c r="D86" s="3">
        <v>0.18</v>
      </c>
      <c r="E86" s="4">
        <v>4200000</v>
      </c>
      <c r="F86" s="4">
        <v>2810000</v>
      </c>
      <c r="G86" s="3">
        <v>4</v>
      </c>
    </row>
    <row r="87" spans="1:7" x14ac:dyDescent="0.3">
      <c r="A87" s="3" t="s">
        <v>127</v>
      </c>
      <c r="B87" s="3">
        <v>2600</v>
      </c>
      <c r="C87" s="4">
        <v>138000</v>
      </c>
      <c r="D87" s="3">
        <v>0.18</v>
      </c>
      <c r="E87" s="4">
        <v>5400000</v>
      </c>
      <c r="F87" s="4">
        <v>3850000</v>
      </c>
      <c r="G87" s="3">
        <v>5</v>
      </c>
    </row>
    <row r="88" spans="1:7" x14ac:dyDescent="0.3">
      <c r="A88" s="3" t="s">
        <v>128</v>
      </c>
      <c r="B88" s="3">
        <v>8350</v>
      </c>
      <c r="C88" s="4">
        <v>168000</v>
      </c>
      <c r="D88" s="3">
        <v>0.14000000000000001</v>
      </c>
      <c r="E88" s="4">
        <v>9600000</v>
      </c>
      <c r="F88" s="4">
        <v>13000000</v>
      </c>
      <c r="G88" s="3">
        <v>5</v>
      </c>
    </row>
    <row r="89" spans="1:7" x14ac:dyDescent="0.3">
      <c r="A89" s="3" t="s">
        <v>129</v>
      </c>
      <c r="B89" s="3">
        <v>6250</v>
      </c>
      <c r="C89" s="4">
        <v>137000</v>
      </c>
      <c r="D89" s="3">
        <v>0.16</v>
      </c>
      <c r="E89" s="4">
        <v>7450000</v>
      </c>
      <c r="F89" s="4">
        <v>9200000</v>
      </c>
      <c r="G89" s="3">
        <v>4</v>
      </c>
    </row>
    <row r="90" spans="1:7" x14ac:dyDescent="0.3">
      <c r="A90" s="3" t="s">
        <v>130</v>
      </c>
      <c r="B90" s="3">
        <v>2500</v>
      </c>
      <c r="C90" s="4">
        <v>126000</v>
      </c>
      <c r="D90" s="3">
        <v>0.18</v>
      </c>
      <c r="E90" s="4">
        <v>5200000</v>
      </c>
      <c r="F90" s="4">
        <v>3650000</v>
      </c>
      <c r="G90" s="3">
        <v>5</v>
      </c>
    </row>
    <row r="91" spans="1:7" x14ac:dyDescent="0.3">
      <c r="A91" s="3" t="s">
        <v>131</v>
      </c>
      <c r="B91" s="3">
        <v>2150</v>
      </c>
      <c r="C91" s="4">
        <v>87000</v>
      </c>
      <c r="D91" s="3">
        <v>0.17</v>
      </c>
      <c r="E91" s="4">
        <v>3750000</v>
      </c>
      <c r="F91" s="4">
        <v>2480000</v>
      </c>
      <c r="G91" s="3">
        <v>3</v>
      </c>
    </row>
    <row r="92" spans="1:7" x14ac:dyDescent="0.3">
      <c r="A92" s="3" t="s">
        <v>132</v>
      </c>
      <c r="B92" s="3">
        <v>8100</v>
      </c>
      <c r="C92" s="4">
        <v>150000</v>
      </c>
      <c r="D92" s="3">
        <v>0.14000000000000001</v>
      </c>
      <c r="E92" s="4">
        <v>9050000</v>
      </c>
      <c r="F92" s="4">
        <v>12200000</v>
      </c>
      <c r="G92" s="3">
        <v>5</v>
      </c>
    </row>
    <row r="93" spans="1:7" x14ac:dyDescent="0.3">
      <c r="A93" s="3" t="s">
        <v>133</v>
      </c>
      <c r="B93" s="3">
        <v>6200</v>
      </c>
      <c r="C93" s="4">
        <v>135000</v>
      </c>
      <c r="D93" s="3">
        <v>0.16</v>
      </c>
      <c r="E93" s="4">
        <v>7400000</v>
      </c>
      <c r="F93" s="4">
        <v>9100000</v>
      </c>
      <c r="G93" s="3">
        <v>4</v>
      </c>
    </row>
    <row r="94" spans="1:7" x14ac:dyDescent="0.3">
      <c r="A94" s="3" t="s">
        <v>134</v>
      </c>
      <c r="B94" s="3">
        <v>2300</v>
      </c>
      <c r="C94" s="4">
        <v>88000</v>
      </c>
      <c r="D94" s="3">
        <v>0.18</v>
      </c>
      <c r="E94" s="4">
        <v>4250000</v>
      </c>
      <c r="F94" s="4">
        <v>2800000</v>
      </c>
      <c r="G94" s="3">
        <v>4</v>
      </c>
    </row>
    <row r="95" spans="1:7" x14ac:dyDescent="0.3">
      <c r="A95" s="3" t="s">
        <v>135</v>
      </c>
      <c r="B95" s="3">
        <v>2050</v>
      </c>
      <c r="C95" s="4">
        <v>93000</v>
      </c>
      <c r="D95" s="3">
        <v>0.17</v>
      </c>
      <c r="E95" s="4">
        <v>3850000</v>
      </c>
      <c r="F95" s="4">
        <v>2550000</v>
      </c>
      <c r="G95" s="3">
        <v>3</v>
      </c>
    </row>
    <row r="96" spans="1:7" x14ac:dyDescent="0.3">
      <c r="A96" s="3" t="s">
        <v>136</v>
      </c>
      <c r="B96" s="3">
        <v>8250</v>
      </c>
      <c r="C96" s="4">
        <v>160000</v>
      </c>
      <c r="D96" s="3">
        <v>0.14000000000000001</v>
      </c>
      <c r="E96" s="4">
        <v>9400000</v>
      </c>
      <c r="F96" s="4">
        <v>12500000</v>
      </c>
      <c r="G96" s="3">
        <v>5</v>
      </c>
    </row>
    <row r="97" spans="1:7" x14ac:dyDescent="0.3">
      <c r="A97" s="3" t="s">
        <v>137</v>
      </c>
      <c r="B97" s="3">
        <v>6150</v>
      </c>
      <c r="C97" s="4">
        <v>140000</v>
      </c>
      <c r="D97" s="3">
        <v>0.16</v>
      </c>
      <c r="E97" s="4">
        <v>7500000</v>
      </c>
      <c r="F97" s="4">
        <v>9300000</v>
      </c>
      <c r="G97" s="3">
        <v>4</v>
      </c>
    </row>
    <row r="98" spans="1:7" x14ac:dyDescent="0.3">
      <c r="A98" s="3" t="s">
        <v>138</v>
      </c>
      <c r="B98" s="3">
        <v>2450</v>
      </c>
      <c r="C98" s="4">
        <v>129000</v>
      </c>
      <c r="D98" s="3">
        <v>0.18</v>
      </c>
      <c r="E98" s="4">
        <v>5320000</v>
      </c>
      <c r="F98" s="4">
        <v>3720000</v>
      </c>
      <c r="G98" s="3">
        <v>5</v>
      </c>
    </row>
    <row r="99" spans="1:7" x14ac:dyDescent="0.3">
      <c r="A99" s="3" t="s">
        <v>139</v>
      </c>
      <c r="B99" s="3">
        <v>2100</v>
      </c>
      <c r="C99" s="4">
        <v>87000</v>
      </c>
      <c r="D99" s="3">
        <v>0.17</v>
      </c>
      <c r="E99" s="4">
        <v>3800000</v>
      </c>
      <c r="F99" s="4">
        <v>2550000</v>
      </c>
      <c r="G99" s="3">
        <v>3</v>
      </c>
    </row>
    <row r="100" spans="1:7" x14ac:dyDescent="0.3">
      <c r="A100" s="3" t="s">
        <v>140</v>
      </c>
      <c r="B100" s="3">
        <v>8200</v>
      </c>
      <c r="C100" s="4">
        <v>150000</v>
      </c>
      <c r="D100" s="3">
        <v>0.14000000000000001</v>
      </c>
      <c r="E100" s="4">
        <v>9150000</v>
      </c>
      <c r="F100" s="4">
        <v>12100000</v>
      </c>
      <c r="G100" s="3">
        <v>5</v>
      </c>
    </row>
    <row r="101" spans="1:7" x14ac:dyDescent="0.3">
      <c r="A101" s="3" t="s">
        <v>141</v>
      </c>
      <c r="B101" s="3">
        <v>6300</v>
      </c>
      <c r="C101" s="4">
        <v>138000</v>
      </c>
      <c r="D101" s="3">
        <v>0.16</v>
      </c>
      <c r="E101" s="4">
        <v>7500000</v>
      </c>
      <c r="F101" s="4">
        <v>9250000</v>
      </c>
      <c r="G101" s="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1EADA-C5FB-4A32-958D-8D114D6B3AB2}">
  <dimension ref="H4:K18"/>
  <sheetViews>
    <sheetView showGridLines="0" workbookViewId="0">
      <selection activeCell="D5" sqref="D5"/>
    </sheetView>
  </sheetViews>
  <sheetFormatPr defaultRowHeight="14.4" x14ac:dyDescent="0.3"/>
  <cols>
    <col min="7" max="7" width="7" customWidth="1"/>
    <col min="8" max="8" width="11.109375" customWidth="1"/>
    <col min="9" max="9" width="16.44140625" customWidth="1"/>
    <col min="10" max="10" width="58.109375" customWidth="1"/>
    <col min="11" max="11" width="8.88671875" customWidth="1"/>
    <col min="12" max="12" width="5" customWidth="1"/>
    <col min="13" max="13" width="7.44140625" customWidth="1"/>
  </cols>
  <sheetData>
    <row r="4" spans="8:11" ht="23.4" x14ac:dyDescent="0.3">
      <c r="H4" s="79" t="s">
        <v>244</v>
      </c>
      <c r="I4" s="79"/>
      <c r="J4" s="79"/>
      <c r="K4" s="79"/>
    </row>
    <row r="6" spans="8:11" ht="21.6" thickBot="1" x14ac:dyDescent="0.35">
      <c r="H6" s="58"/>
      <c r="I6" s="58"/>
      <c r="J6" s="58"/>
      <c r="K6" s="58"/>
    </row>
    <row r="7" spans="8:11" ht="130.19999999999999" thickBot="1" x14ac:dyDescent="0.35">
      <c r="I7" s="60" t="s">
        <v>238</v>
      </c>
      <c r="J7" s="61" t="s">
        <v>243</v>
      </c>
    </row>
    <row r="8" spans="8:11" ht="30" x14ac:dyDescent="0.3">
      <c r="I8" s="80" t="s">
        <v>239</v>
      </c>
      <c r="J8" s="59" t="s">
        <v>240</v>
      </c>
    </row>
    <row r="9" spans="8:11" ht="30" x14ac:dyDescent="0.3">
      <c r="I9" s="80"/>
      <c r="J9" s="56" t="s">
        <v>241</v>
      </c>
    </row>
    <row r="10" spans="8:11" ht="30" x14ac:dyDescent="0.3">
      <c r="I10" s="80"/>
      <c r="J10" s="56" t="s">
        <v>246</v>
      </c>
    </row>
    <row r="11" spans="8:11" ht="30" x14ac:dyDescent="0.3">
      <c r="I11" s="80"/>
      <c r="J11" s="56" t="s">
        <v>242</v>
      </c>
    </row>
    <row r="12" spans="8:11" ht="30.6" thickBot="1" x14ac:dyDescent="0.35">
      <c r="I12" s="81"/>
      <c r="J12" s="57" t="s">
        <v>245</v>
      </c>
    </row>
    <row r="16" spans="8:11" x14ac:dyDescent="0.3">
      <c r="J16" s="55"/>
    </row>
    <row r="18" spans="10:10" x14ac:dyDescent="0.3">
      <c r="J18" s="55"/>
    </row>
  </sheetData>
  <mergeCells count="2">
    <mergeCell ref="H4:K4"/>
    <mergeCell ref="I8:I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C257-7A07-428F-A798-648C8153DE53}">
  <dimension ref="D3:I6"/>
  <sheetViews>
    <sheetView showGridLines="0" showRowColHeaders="0" tabSelected="1" zoomScaleNormal="100" workbookViewId="0">
      <selection activeCell="P6" sqref="P6"/>
    </sheetView>
  </sheetViews>
  <sheetFormatPr defaultRowHeight="14.4" x14ac:dyDescent="0.3"/>
  <cols>
    <col min="1" max="1" width="16.5546875" style="14" customWidth="1"/>
    <col min="2" max="2" width="15.109375" style="14" customWidth="1"/>
    <col min="3" max="3" width="7.5546875" style="14" customWidth="1"/>
    <col min="4" max="4" width="6.5546875" style="14" customWidth="1"/>
    <col min="5" max="5" width="8.44140625" style="14" customWidth="1"/>
    <col min="6" max="6" width="15.33203125" style="14" customWidth="1"/>
    <col min="7" max="7" width="7.109375" style="14" customWidth="1"/>
    <col min="8" max="8" width="7.44140625" style="14" customWidth="1"/>
    <col min="9" max="9" width="8.109375" style="14" customWidth="1"/>
    <col min="10" max="10" width="20.33203125" style="14" customWidth="1"/>
    <col min="11" max="11" width="7.6640625" style="14" customWidth="1"/>
    <col min="12" max="12" width="8.33203125" style="14" customWidth="1"/>
    <col min="13" max="13" width="8.21875" style="14" customWidth="1"/>
    <col min="14" max="14" width="23.5546875" style="14" customWidth="1"/>
    <col min="15" max="15" width="7.21875" style="14" customWidth="1"/>
    <col min="16" max="16" width="8.33203125" style="14" customWidth="1"/>
    <col min="17" max="17" width="6.21875" style="14" customWidth="1"/>
    <col min="18" max="18" width="7.5546875" style="14" customWidth="1"/>
    <col min="19" max="19" width="18.44140625" style="14" customWidth="1"/>
    <col min="20" max="16384" width="8.88671875" style="14"/>
  </cols>
  <sheetData>
    <row r="3" spans="4:9" ht="25.8" x14ac:dyDescent="0.5">
      <c r="I3" s="54" t="s">
        <v>237</v>
      </c>
    </row>
    <row r="6" spans="4:9" x14ac:dyDescent="0.3">
      <c r="D6" s="14" t="s">
        <v>236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DCBB4-940C-4668-BB98-D69FF7F300AC}">
  <dimension ref="A1:L54"/>
  <sheetViews>
    <sheetView topLeftCell="C1" workbookViewId="0">
      <selection activeCell="H18" sqref="H18"/>
    </sheetView>
  </sheetViews>
  <sheetFormatPr defaultRowHeight="14.4" x14ac:dyDescent="0.3"/>
  <cols>
    <col min="1" max="1" width="17.33203125" bestFit="1" customWidth="1"/>
    <col min="2" max="2" width="21" customWidth="1"/>
    <col min="3" max="3" width="19.6640625" bestFit="1" customWidth="1"/>
    <col min="4" max="4" width="20.21875" customWidth="1"/>
    <col min="5" max="5" width="25.33203125" bestFit="1" customWidth="1"/>
    <col min="6" max="6" width="20" bestFit="1" customWidth="1"/>
    <col min="7" max="7" width="20.33203125" customWidth="1"/>
    <col min="8" max="10" width="17.5546875" bestFit="1" customWidth="1"/>
    <col min="11" max="11" width="24.88671875" customWidth="1"/>
  </cols>
  <sheetData>
    <row r="1" spans="1:7" x14ac:dyDescent="0.3">
      <c r="A1" s="3" t="s">
        <v>148</v>
      </c>
      <c r="B1" s="3" t="s">
        <v>5</v>
      </c>
      <c r="C1" s="3" t="s">
        <v>149</v>
      </c>
      <c r="D1" s="3" t="s">
        <v>150</v>
      </c>
      <c r="E1" s="3" t="s">
        <v>151</v>
      </c>
      <c r="F1" s="3" t="s">
        <v>152</v>
      </c>
      <c r="G1" s="3" t="s">
        <v>183</v>
      </c>
    </row>
    <row r="2" spans="1:7" x14ac:dyDescent="0.3">
      <c r="A2" s="16" t="s">
        <v>153</v>
      </c>
      <c r="B2" s="3" t="s">
        <v>154</v>
      </c>
      <c r="C2" s="3">
        <v>1</v>
      </c>
      <c r="D2" s="3">
        <v>1</v>
      </c>
      <c r="E2" s="3">
        <v>1</v>
      </c>
      <c r="F2" s="3">
        <v>1</v>
      </c>
      <c r="G2" s="3">
        <v>1</v>
      </c>
    </row>
    <row r="3" spans="1:7" x14ac:dyDescent="0.3">
      <c r="A3" s="16" t="s">
        <v>155</v>
      </c>
      <c r="B3" s="3" t="s">
        <v>154</v>
      </c>
      <c r="C3" s="3">
        <v>1</v>
      </c>
      <c r="D3" s="3">
        <v>0.8</v>
      </c>
      <c r="E3" s="3">
        <v>1</v>
      </c>
      <c r="F3" s="3">
        <v>1</v>
      </c>
      <c r="G3" s="3">
        <v>0.95</v>
      </c>
    </row>
    <row r="4" spans="1:7" x14ac:dyDescent="0.3">
      <c r="A4" s="16" t="s">
        <v>156</v>
      </c>
      <c r="B4" s="3" t="s">
        <v>24</v>
      </c>
      <c r="C4" s="3">
        <v>1.3</v>
      </c>
      <c r="D4" s="3">
        <v>1.1499999999999999</v>
      </c>
      <c r="E4" s="3">
        <v>1.25</v>
      </c>
      <c r="F4" s="3">
        <v>1.1000000000000001</v>
      </c>
      <c r="G4" s="3">
        <v>0.9</v>
      </c>
    </row>
    <row r="5" spans="1:7" x14ac:dyDescent="0.3">
      <c r="A5" s="16" t="s">
        <v>157</v>
      </c>
      <c r="B5" s="3" t="s">
        <v>158</v>
      </c>
      <c r="C5" s="3" t="s">
        <v>154</v>
      </c>
      <c r="D5" s="3">
        <v>1</v>
      </c>
      <c r="E5" s="3">
        <v>1</v>
      </c>
      <c r="F5" s="3">
        <v>1.4</v>
      </c>
      <c r="G5" s="3">
        <v>0.85</v>
      </c>
    </row>
    <row r="6" spans="1:7" x14ac:dyDescent="0.3">
      <c r="A6" s="16" t="s">
        <v>159</v>
      </c>
      <c r="B6" s="3" t="s">
        <v>24</v>
      </c>
      <c r="C6" s="3">
        <v>1.5</v>
      </c>
      <c r="D6" s="3">
        <v>1.3</v>
      </c>
      <c r="E6" s="3">
        <v>1.4</v>
      </c>
      <c r="F6" s="3">
        <v>1.2</v>
      </c>
      <c r="G6" s="3">
        <v>0.8</v>
      </c>
    </row>
    <row r="7" spans="1:7" x14ac:dyDescent="0.3">
      <c r="A7" s="16" t="s">
        <v>160</v>
      </c>
      <c r="B7" s="3" t="s">
        <v>36</v>
      </c>
      <c r="C7" s="3">
        <v>1.4</v>
      </c>
      <c r="D7" s="3">
        <v>1.2</v>
      </c>
      <c r="E7" s="3">
        <v>1.3</v>
      </c>
      <c r="F7" s="3">
        <v>1.1499999999999999</v>
      </c>
      <c r="G7" s="3">
        <v>0.88</v>
      </c>
    </row>
    <row r="8" spans="1:7" x14ac:dyDescent="0.3">
      <c r="A8" s="16" t="s">
        <v>161</v>
      </c>
      <c r="B8" s="3" t="s">
        <v>158</v>
      </c>
      <c r="C8" s="3" t="s">
        <v>154</v>
      </c>
      <c r="D8" s="3">
        <v>1</v>
      </c>
      <c r="E8" s="3">
        <v>1.5</v>
      </c>
      <c r="F8" s="3">
        <v>1</v>
      </c>
      <c r="G8" s="3">
        <v>0.9</v>
      </c>
    </row>
    <row r="13" spans="1:7" x14ac:dyDescent="0.3">
      <c r="D13" s="34" t="s">
        <v>209</v>
      </c>
    </row>
    <row r="14" spans="1:7" x14ac:dyDescent="0.3">
      <c r="A14" s="21" t="s">
        <v>206</v>
      </c>
      <c r="B14" s="21" t="s">
        <v>207</v>
      </c>
      <c r="C14" s="32" t="s">
        <v>149</v>
      </c>
      <c r="D14" s="32" t="s">
        <v>150</v>
      </c>
      <c r="E14" s="32" t="s">
        <v>151</v>
      </c>
      <c r="F14" s="32" t="s">
        <v>152</v>
      </c>
      <c r="G14" s="32" t="s">
        <v>183</v>
      </c>
    </row>
    <row r="15" spans="1:7" x14ac:dyDescent="0.3">
      <c r="A15" s="17" t="str" cm="1">
        <f t="array" ref="A15:A21">Table3[Scenario]</f>
        <v>Baseline</v>
      </c>
      <c r="B15" s="28">
        <f>(Calcul!$G$102)* (scenario_multipliers!D2)*(scenario_multipliers!E2)*(scenario_multipliers!F2)</f>
        <v>1798399479.5</v>
      </c>
      <c r="C15" s="33">
        <v>1</v>
      </c>
      <c r="D15" s="19">
        <v>1</v>
      </c>
      <c r="E15" s="19">
        <v>1</v>
      </c>
      <c r="F15" s="19">
        <v>1</v>
      </c>
      <c r="G15" s="19">
        <v>1</v>
      </c>
    </row>
    <row r="16" spans="1:7" x14ac:dyDescent="0.3">
      <c r="A16" s="17" t="str">
        <v>Budget_Cut_20</v>
      </c>
      <c r="B16" s="28">
        <f>(Calcul!$G$102)*(D16)*(E16)*(F16)</f>
        <v>1438719583.6000001</v>
      </c>
      <c r="C16" s="19">
        <v>1</v>
      </c>
      <c r="D16" s="19">
        <v>0.8</v>
      </c>
      <c r="E16" s="19">
        <v>1</v>
      </c>
      <c r="F16" s="19">
        <v>1</v>
      </c>
      <c r="G16" s="19">
        <v>0.95</v>
      </c>
    </row>
    <row r="17" spans="1:12" x14ac:dyDescent="0.3">
      <c r="A17" s="17" t="str">
        <v>High_Threat_ME</v>
      </c>
      <c r="B17" s="28">
        <f>(Calcul!$G$102)*(D17)*(E17)*(F17)</f>
        <v>2843719176.9593754</v>
      </c>
      <c r="C17" s="19">
        <v>1.3</v>
      </c>
      <c r="D17" s="19">
        <v>1.1499999999999999</v>
      </c>
      <c r="E17" s="19">
        <v>1.25</v>
      </c>
      <c r="F17" s="19">
        <v>1.1000000000000001</v>
      </c>
      <c r="G17" s="19">
        <v>0.9</v>
      </c>
    </row>
    <row r="18" spans="1:12" x14ac:dyDescent="0.3">
      <c r="A18" s="17" t="str">
        <v>Energy_Crisis</v>
      </c>
      <c r="B18" s="28">
        <f>(Calcul!$G$102)*(D18)*(E18)*(F18)</f>
        <v>2517759271.2999997</v>
      </c>
      <c r="C18" s="19" t="s">
        <v>154</v>
      </c>
      <c r="D18" s="19">
        <v>1</v>
      </c>
      <c r="E18" s="19">
        <v>1</v>
      </c>
      <c r="F18" s="19">
        <v>1.4</v>
      </c>
      <c r="G18" s="19">
        <v>0.85</v>
      </c>
    </row>
    <row r="19" spans="1:12" x14ac:dyDescent="0.3">
      <c r="A19" s="17" t="str">
        <v>War_Surge</v>
      </c>
      <c r="B19" s="28">
        <f>(Calcul!$G$102)*(D19)*(E19)*(F19)</f>
        <v>3927704463.2279992</v>
      </c>
      <c r="C19" s="19">
        <v>1.5</v>
      </c>
      <c r="D19" s="19">
        <v>1.3</v>
      </c>
      <c r="E19" s="19">
        <v>1.4</v>
      </c>
      <c r="F19" s="19">
        <v>1.2</v>
      </c>
      <c r="G19" s="19">
        <v>0.8</v>
      </c>
    </row>
    <row r="20" spans="1:12" x14ac:dyDescent="0.3">
      <c r="A20" s="17" t="str">
        <v>Pacific_Escalation</v>
      </c>
      <c r="B20" s="28">
        <f>(Calcul!$G$102)*(D20)*(E20)*(F20)</f>
        <v>3226328666.223</v>
      </c>
      <c r="C20" s="19">
        <v>1.4</v>
      </c>
      <c r="D20" s="19">
        <v>1.2</v>
      </c>
      <c r="E20" s="19">
        <v>1.3</v>
      </c>
      <c r="F20" s="19">
        <v>1.1499999999999999</v>
      </c>
      <c r="G20" s="19">
        <v>0.88</v>
      </c>
    </row>
    <row r="21" spans="1:12" x14ac:dyDescent="0.3">
      <c r="A21" s="17" t="str">
        <v>Maintenance_Shock</v>
      </c>
      <c r="B21" s="28">
        <f>(Calcul!$G$102)*(D21)*(E21)*(F21)</f>
        <v>2697599219.25</v>
      </c>
      <c r="C21" s="19" t="s">
        <v>154</v>
      </c>
      <c r="D21" s="19">
        <v>1</v>
      </c>
      <c r="E21" s="19">
        <v>1.5</v>
      </c>
      <c r="F21" s="19">
        <v>1</v>
      </c>
      <c r="G21" s="19">
        <v>0.9</v>
      </c>
    </row>
    <row r="28" spans="1:12" x14ac:dyDescent="0.3">
      <c r="A28" s="82" t="s">
        <v>159</v>
      </c>
      <c r="B28" s="28">
        <f>(Calcul!$G$102)*(D28)*(E28)*(F28)</f>
        <v>3927704463.2279992</v>
      </c>
      <c r="C28" s="19" t="s">
        <v>225</v>
      </c>
      <c r="D28" s="19">
        <v>1.3</v>
      </c>
      <c r="E28" s="19">
        <v>1.4</v>
      </c>
      <c r="F28" s="19">
        <v>1.2</v>
      </c>
      <c r="H28" s="28">
        <f>(Calcul!$G$102)*J28*K28*L28</f>
        <v>2517759271.2999997</v>
      </c>
      <c r="I28" s="19" t="s">
        <v>249</v>
      </c>
      <c r="J28" s="19">
        <v>1</v>
      </c>
      <c r="K28" s="19">
        <v>1</v>
      </c>
      <c r="L28" s="19">
        <v>1.4</v>
      </c>
    </row>
    <row r="29" spans="1:12" x14ac:dyDescent="0.3">
      <c r="A29" s="82"/>
      <c r="B29" s="28">
        <f>(Calcul!$G$102)*(D29)*(E29)*(F29)</f>
        <v>2199999999.999999</v>
      </c>
      <c r="C29" s="18" t="s">
        <v>226</v>
      </c>
      <c r="D29" s="62">
        <v>0.72816069202149103</v>
      </c>
      <c r="E29" s="19">
        <v>1.4</v>
      </c>
      <c r="F29" s="19">
        <v>1.2</v>
      </c>
      <c r="H29" s="28">
        <f>(Calcul!$G$102)*(J29)*(K29)*(L29)</f>
        <v>1999999999.999999</v>
      </c>
      <c r="I29" s="18" t="s">
        <v>226</v>
      </c>
      <c r="J29" s="37">
        <v>0.79435711856889923</v>
      </c>
      <c r="K29" s="19">
        <v>1</v>
      </c>
      <c r="L29" s="19">
        <v>1.4</v>
      </c>
    </row>
    <row r="30" spans="1:12" x14ac:dyDescent="0.3">
      <c r="A30" s="82"/>
      <c r="B30" s="28">
        <f>(Calcul!$G$102)*(D30)*(E30)*(F30)</f>
        <v>2200000000.0000005</v>
      </c>
      <c r="C30" s="18" t="s">
        <v>227</v>
      </c>
      <c r="D30" s="19">
        <v>1.3</v>
      </c>
      <c r="E30" s="62">
        <v>0.78417305294622153</v>
      </c>
      <c r="F30" s="19">
        <v>1.2</v>
      </c>
      <c r="H30" s="28">
        <f>(Calcul!$G$102)*(J30)*(K30)*(L30)</f>
        <v>1999999999.999999</v>
      </c>
      <c r="I30" s="18" t="s">
        <v>227</v>
      </c>
      <c r="J30" s="19">
        <v>1</v>
      </c>
      <c r="K30" s="37">
        <v>0.79435711856889923</v>
      </c>
      <c r="L30" s="19">
        <v>1.4</v>
      </c>
    </row>
    <row r="31" spans="1:12" x14ac:dyDescent="0.3">
      <c r="A31" s="82"/>
      <c r="B31" s="28">
        <f>(Calcul!$G$102)*(D31)*(E31)*(F31)</f>
        <v>2200000000</v>
      </c>
      <c r="C31" s="18" t="s">
        <v>228</v>
      </c>
      <c r="D31" s="19">
        <v>1.3</v>
      </c>
      <c r="E31" s="19">
        <v>1.4</v>
      </c>
      <c r="F31" s="62">
        <v>0.6721483310967612</v>
      </c>
      <c r="H31" s="28">
        <f>(Calcul!$G$102)*(J31)*(K31)*(L31)</f>
        <v>2000000000.0000002</v>
      </c>
      <c r="I31" s="18" t="s">
        <v>228</v>
      </c>
      <c r="J31" s="19">
        <v>1</v>
      </c>
      <c r="K31" s="19">
        <v>1</v>
      </c>
      <c r="L31" s="77">
        <v>1.1120999659964594</v>
      </c>
    </row>
    <row r="32" spans="1:12" x14ac:dyDescent="0.3">
      <c r="J32" s="17" t="s">
        <v>153</v>
      </c>
      <c r="K32" s="47">
        <f>B15</f>
        <v>1798399479.5</v>
      </c>
    </row>
    <row r="33" spans="3:11" x14ac:dyDescent="0.3">
      <c r="J33" s="18" t="s">
        <v>226</v>
      </c>
      <c r="K33" s="46">
        <v>1.3</v>
      </c>
    </row>
    <row r="34" spans="3:11" x14ac:dyDescent="0.3">
      <c r="J34" s="18" t="s">
        <v>227</v>
      </c>
      <c r="K34" s="45">
        <v>1.4</v>
      </c>
    </row>
    <row r="35" spans="3:11" x14ac:dyDescent="0.3">
      <c r="J35" s="18" t="s">
        <v>228</v>
      </c>
      <c r="K35" s="45">
        <v>1.2</v>
      </c>
    </row>
    <row r="36" spans="3:11" x14ac:dyDescent="0.3">
      <c r="J36" s="2" t="s">
        <v>234</v>
      </c>
      <c r="K36" s="50">
        <f>K32*K33*K34*K35</f>
        <v>3927704463.2279992</v>
      </c>
    </row>
    <row r="39" spans="3:11" x14ac:dyDescent="0.3">
      <c r="C39" s="51" t="s">
        <v>226</v>
      </c>
      <c r="D39" s="83" t="s">
        <v>228</v>
      </c>
      <c r="E39" s="84"/>
      <c r="F39" s="84"/>
      <c r="G39" s="84"/>
      <c r="H39" s="84"/>
      <c r="I39" s="84"/>
      <c r="J39" s="84"/>
    </row>
    <row r="40" spans="3:11" x14ac:dyDescent="0.3">
      <c r="C40" s="49">
        <f>K36</f>
        <v>3927704463.2279992</v>
      </c>
      <c r="D40" s="21">
        <v>0</v>
      </c>
      <c r="E40" s="21">
        <v>0.2</v>
      </c>
      <c r="F40" s="21">
        <v>0.4</v>
      </c>
      <c r="G40" s="21">
        <v>0.6</v>
      </c>
      <c r="H40" s="21">
        <v>0.8</v>
      </c>
      <c r="I40" s="21">
        <v>1</v>
      </c>
      <c r="J40" s="21">
        <v>1.2</v>
      </c>
    </row>
    <row r="41" spans="3:11" x14ac:dyDescent="0.3">
      <c r="C41" s="44">
        <v>0</v>
      </c>
      <c r="D41" s="48">
        <f t="dataTable" ref="D41:J54" dt2D="1" dtr="1" r1="K33" r2="K35"/>
        <v>0</v>
      </c>
      <c r="E41" s="48">
        <v>0</v>
      </c>
      <c r="F41" s="48">
        <v>0</v>
      </c>
      <c r="G41" s="48">
        <v>0</v>
      </c>
      <c r="H41" s="48">
        <v>0</v>
      </c>
      <c r="I41" s="48">
        <v>0</v>
      </c>
      <c r="J41" s="48">
        <v>0</v>
      </c>
    </row>
    <row r="42" spans="3:11" x14ac:dyDescent="0.3">
      <c r="C42" s="44">
        <v>0.1</v>
      </c>
      <c r="D42" s="48">
        <v>0</v>
      </c>
      <c r="E42" s="48">
        <v>50355185.425999999</v>
      </c>
      <c r="F42" s="48">
        <v>100710370.852</v>
      </c>
      <c r="G42" s="48">
        <v>151065556.278</v>
      </c>
      <c r="H42" s="48">
        <v>201420741.704</v>
      </c>
      <c r="I42" s="48">
        <v>251775927.13</v>
      </c>
      <c r="J42" s="48">
        <v>302131112.55599999</v>
      </c>
    </row>
    <row r="43" spans="3:11" x14ac:dyDescent="0.3">
      <c r="C43" s="44">
        <v>0.2</v>
      </c>
      <c r="D43" s="48">
        <v>0</v>
      </c>
      <c r="E43" s="48">
        <v>100710370.852</v>
      </c>
      <c r="F43" s="48">
        <v>201420741.704</v>
      </c>
      <c r="G43" s="48">
        <v>302131112.55599999</v>
      </c>
      <c r="H43" s="48">
        <v>402841483.40799999</v>
      </c>
      <c r="I43" s="48">
        <v>503551854.25999999</v>
      </c>
      <c r="J43" s="48">
        <v>604262225.11199999</v>
      </c>
    </row>
    <row r="44" spans="3:11" x14ac:dyDescent="0.3">
      <c r="C44" s="44">
        <v>0.3</v>
      </c>
      <c r="D44" s="48">
        <v>0</v>
      </c>
      <c r="E44" s="48">
        <v>151065556.278</v>
      </c>
      <c r="F44" s="48">
        <v>302131112.55599999</v>
      </c>
      <c r="G44" s="48">
        <v>453196668.83399999</v>
      </c>
      <c r="H44" s="48">
        <v>604262225.11199999</v>
      </c>
      <c r="I44" s="48">
        <v>755327781.38999987</v>
      </c>
      <c r="J44" s="48">
        <v>906393337.66799998</v>
      </c>
    </row>
    <row r="45" spans="3:11" x14ac:dyDescent="0.3">
      <c r="C45" s="44">
        <v>0.4</v>
      </c>
      <c r="D45" s="48">
        <v>0</v>
      </c>
      <c r="E45" s="48">
        <v>201420741.704</v>
      </c>
      <c r="F45" s="48">
        <v>402841483.40799999</v>
      </c>
      <c r="G45" s="48">
        <v>604262225.11199999</v>
      </c>
      <c r="H45" s="48">
        <v>805682966.81599998</v>
      </c>
      <c r="I45" s="48">
        <v>1007103708.52</v>
      </c>
      <c r="J45" s="48">
        <v>1208524450.224</v>
      </c>
    </row>
    <row r="46" spans="3:11" x14ac:dyDescent="0.3">
      <c r="C46" s="44">
        <v>0.5</v>
      </c>
      <c r="D46" s="48">
        <v>0</v>
      </c>
      <c r="E46" s="48">
        <v>251775927.13</v>
      </c>
      <c r="F46" s="48">
        <v>503551854.25999999</v>
      </c>
      <c r="G46" s="48">
        <v>755327781.38999999</v>
      </c>
      <c r="H46" s="48">
        <v>1007103708.52</v>
      </c>
      <c r="I46" s="48">
        <v>1258879635.6499999</v>
      </c>
      <c r="J46" s="48">
        <v>1510655562.78</v>
      </c>
    </row>
    <row r="47" spans="3:11" x14ac:dyDescent="0.3">
      <c r="C47" s="44">
        <v>0.6</v>
      </c>
      <c r="D47" s="48">
        <v>0</v>
      </c>
      <c r="E47" s="48">
        <v>302131112.55599999</v>
      </c>
      <c r="F47" s="48">
        <v>604262225.11199999</v>
      </c>
      <c r="G47" s="48">
        <v>906393337.66799998</v>
      </c>
      <c r="H47" s="48">
        <v>1208524450.224</v>
      </c>
      <c r="I47" s="48">
        <v>1510655562.7799997</v>
      </c>
      <c r="J47" s="48">
        <v>1812786675.336</v>
      </c>
    </row>
    <row r="48" spans="3:11" x14ac:dyDescent="0.3">
      <c r="C48" s="44">
        <v>0.7</v>
      </c>
      <c r="D48" s="48">
        <v>0</v>
      </c>
      <c r="E48" s="48">
        <v>352486297.98199999</v>
      </c>
      <c r="F48" s="48">
        <v>704972595.96399999</v>
      </c>
      <c r="G48" s="48">
        <v>1057458893.9459999</v>
      </c>
      <c r="H48" s="48">
        <v>1409945191.928</v>
      </c>
      <c r="I48" s="48">
        <v>1762431489.9099996</v>
      </c>
      <c r="J48" s="48">
        <v>2114917787.8919997</v>
      </c>
    </row>
    <row r="49" spans="3:10" x14ac:dyDescent="0.3">
      <c r="C49" s="44">
        <v>0.8</v>
      </c>
      <c r="D49" s="48">
        <v>0</v>
      </c>
      <c r="E49" s="48">
        <v>402841483.40799999</v>
      </c>
      <c r="F49" s="48">
        <v>805682966.81599998</v>
      </c>
      <c r="G49" s="48">
        <v>1208524450.224</v>
      </c>
      <c r="H49" s="48">
        <v>1611365933.632</v>
      </c>
      <c r="I49" s="48">
        <v>2014207417.04</v>
      </c>
      <c r="J49" s="48">
        <v>2417048900.448</v>
      </c>
    </row>
    <row r="50" spans="3:10" x14ac:dyDescent="0.3">
      <c r="C50" s="44">
        <v>0.9</v>
      </c>
      <c r="D50" s="48">
        <v>0</v>
      </c>
      <c r="E50" s="48">
        <v>453196668.83399999</v>
      </c>
      <c r="F50" s="48">
        <v>906393337.66799998</v>
      </c>
      <c r="G50" s="48">
        <v>1359590006.5020001</v>
      </c>
      <c r="H50" s="48">
        <v>1812786675.336</v>
      </c>
      <c r="I50" s="48">
        <v>2265983344.1699996</v>
      </c>
      <c r="J50" s="48">
        <v>2719180013.0040002</v>
      </c>
    </row>
    <row r="51" spans="3:10" x14ac:dyDescent="0.3">
      <c r="C51" s="44">
        <v>1</v>
      </c>
      <c r="D51" s="48">
        <v>0</v>
      </c>
      <c r="E51" s="48">
        <v>503551854.25999999</v>
      </c>
      <c r="F51" s="48">
        <v>1007103708.52</v>
      </c>
      <c r="G51" s="48">
        <v>1510655562.78</v>
      </c>
      <c r="H51" s="48">
        <v>2014207417.04</v>
      </c>
      <c r="I51" s="48">
        <v>2517759271.2999997</v>
      </c>
      <c r="J51" s="48">
        <v>3021311125.5599999</v>
      </c>
    </row>
    <row r="52" spans="3:10" x14ac:dyDescent="0.3">
      <c r="C52" s="44">
        <v>1.1000000000000001</v>
      </c>
      <c r="D52" s="48">
        <v>0</v>
      </c>
      <c r="E52" s="48">
        <v>553907039.68599999</v>
      </c>
      <c r="F52" s="48">
        <v>1107814079.372</v>
      </c>
      <c r="G52" s="48">
        <v>1661721119.0580001</v>
      </c>
      <c r="H52" s="48">
        <v>2215628158.744</v>
      </c>
      <c r="I52" s="48">
        <v>2769535198.4299998</v>
      </c>
      <c r="J52" s="48">
        <v>3323442238.1160002</v>
      </c>
    </row>
    <row r="53" spans="3:10" x14ac:dyDescent="0.3">
      <c r="C53" s="44">
        <v>1.2</v>
      </c>
      <c r="D53" s="48">
        <v>0</v>
      </c>
      <c r="E53" s="48">
        <v>604262225.11199999</v>
      </c>
      <c r="F53" s="48">
        <v>1208524450.224</v>
      </c>
      <c r="G53" s="48">
        <v>1812786675.336</v>
      </c>
      <c r="H53" s="48">
        <v>2417048900.448</v>
      </c>
      <c r="I53" s="48">
        <v>3021311125.5599995</v>
      </c>
      <c r="J53" s="48">
        <v>3625573350.6719999</v>
      </c>
    </row>
    <row r="54" spans="3:10" x14ac:dyDescent="0.3">
      <c r="C54" s="44">
        <v>1.3</v>
      </c>
      <c r="D54" s="48">
        <v>0</v>
      </c>
      <c r="E54" s="48">
        <v>654617410.53799999</v>
      </c>
      <c r="F54" s="48">
        <v>1309234821.076</v>
      </c>
      <c r="G54" s="48">
        <v>1963852231.6140001</v>
      </c>
      <c r="H54" s="48">
        <v>2618469642.152</v>
      </c>
      <c r="I54" s="48">
        <v>3273087052.6899996</v>
      </c>
      <c r="J54" s="48">
        <v>3927704463.2280002</v>
      </c>
    </row>
  </sheetData>
  <mergeCells count="2">
    <mergeCell ref="A28:A31"/>
    <mergeCell ref="D39:J39"/>
  </mergeCells>
  <conditionalFormatting sqref="D41:J54">
    <cfRule type="colorScale" priority="1">
      <colorScale>
        <cfvo type="min"/>
        <cfvo type="max"/>
        <color rgb="FFFCFCFF"/>
        <color rgb="FF00B0F0"/>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F2B2-988B-4EC3-850F-B125865DF88B}">
  <dimension ref="A1:K21"/>
  <sheetViews>
    <sheetView workbookViewId="0">
      <selection activeCell="K23" sqref="K23"/>
    </sheetView>
  </sheetViews>
  <sheetFormatPr defaultRowHeight="14.4" x14ac:dyDescent="0.3"/>
  <cols>
    <col min="1" max="1" width="13.33203125" customWidth="1"/>
    <col min="2" max="2" width="13.77734375" customWidth="1"/>
    <col min="3" max="3" width="18.109375" customWidth="1"/>
    <col min="4" max="4" width="14.21875" customWidth="1"/>
    <col min="5" max="8" width="12.77734375" style="2" customWidth="1"/>
    <col min="11" max="11" width="30.44140625" customWidth="1"/>
    <col min="12" max="12" width="17.88671875" customWidth="1"/>
  </cols>
  <sheetData>
    <row r="1" spans="1:11" x14ac:dyDescent="0.3">
      <c r="A1" s="5" t="s">
        <v>162</v>
      </c>
      <c r="B1" s="5" t="s">
        <v>163</v>
      </c>
      <c r="C1" s="5" t="s">
        <v>164</v>
      </c>
      <c r="D1" s="7" t="s">
        <v>1</v>
      </c>
      <c r="E1" s="7" t="s">
        <v>5</v>
      </c>
      <c r="F1" s="7" t="s">
        <v>6</v>
      </c>
      <c r="G1" s="7" t="s">
        <v>3</v>
      </c>
      <c r="H1" s="7" t="s">
        <v>7</v>
      </c>
      <c r="K1" s="29" t="s">
        <v>195</v>
      </c>
    </row>
    <row r="2" spans="1:11" x14ac:dyDescent="0.3">
      <c r="A2" s="6" t="s">
        <v>1</v>
      </c>
      <c r="B2" s="6" t="s">
        <v>165</v>
      </c>
      <c r="C2" s="6"/>
      <c r="D2" s="8" t="str" cm="1">
        <f t="array" ref="D2:D5">_xlfn.UNIQUE(data1[Platform])</f>
        <v>Drone</v>
      </c>
      <c r="E2" s="8" t="str" cm="1">
        <f t="array" ref="E2:E5">_xlfn.UNIQUE(data1[Region])</f>
        <v>EU</v>
      </c>
      <c r="F2" s="8" t="str" cm="1">
        <f t="array" ref="F2:F8">_xlfn.UNIQUE(data1[Mission_Type])</f>
        <v>Surveillance</v>
      </c>
      <c r="G2" s="8" t="str" cm="1">
        <f t="array" ref="G2:G6">_xlfn.UNIQUE(data1[Manufacturer])</f>
        <v>AeroTech</v>
      </c>
      <c r="H2" s="8" t="str" cm="1">
        <f t="array" ref="H2:H4">_xlfn.UNIQUE(data1[Threat_Level])</f>
        <v>Medium</v>
      </c>
      <c r="K2" s="29"/>
    </row>
    <row r="3" spans="1:11" x14ac:dyDescent="0.3">
      <c r="A3" s="6" t="s">
        <v>5</v>
      </c>
      <c r="B3" s="6" t="s">
        <v>165</v>
      </c>
      <c r="C3" s="6"/>
      <c r="D3" s="8" t="str">
        <v>Satellite</v>
      </c>
      <c r="E3" s="8" t="str">
        <v>ME</v>
      </c>
      <c r="F3" s="8" t="str">
        <v>Strike</v>
      </c>
      <c r="G3" s="8" t="str">
        <v>SkyForge</v>
      </c>
      <c r="H3" s="8" t="str">
        <v>High</v>
      </c>
      <c r="K3" s="29" t="s">
        <v>196</v>
      </c>
    </row>
    <row r="4" spans="1:11" x14ac:dyDescent="0.3">
      <c r="A4" s="6" t="s">
        <v>6</v>
      </c>
      <c r="B4" s="6" t="s">
        <v>165</v>
      </c>
      <c r="C4" s="6"/>
      <c r="D4" s="8" t="str">
        <v>Radar</v>
      </c>
      <c r="E4" s="8" t="str">
        <v>NA</v>
      </c>
      <c r="F4" s="8" t="str">
        <v>Tracking</v>
      </c>
      <c r="G4" s="8" t="str">
        <v>OrbitalSys</v>
      </c>
      <c r="H4" s="8" t="str">
        <v>Low</v>
      </c>
      <c r="K4" s="29"/>
    </row>
    <row r="5" spans="1:11" x14ac:dyDescent="0.3">
      <c r="A5" s="6" t="s">
        <v>3</v>
      </c>
      <c r="B5" s="6" t="s">
        <v>165</v>
      </c>
      <c r="C5" s="6"/>
      <c r="D5" s="8" t="str">
        <v>UGV</v>
      </c>
      <c r="E5" s="9" t="str">
        <v>APAC</v>
      </c>
      <c r="F5" s="8" t="str">
        <v>Detection</v>
      </c>
      <c r="G5" s="10" t="str">
        <v>DefenCore</v>
      </c>
      <c r="K5" s="29" t="s">
        <v>197</v>
      </c>
    </row>
    <row r="6" spans="1:11" x14ac:dyDescent="0.3">
      <c r="A6" s="6" t="s">
        <v>7</v>
      </c>
      <c r="B6" s="6" t="s">
        <v>165</v>
      </c>
      <c r="C6" s="6"/>
      <c r="F6" s="8" t="str">
        <v>Patrol</v>
      </c>
      <c r="G6" s="8" t="str">
        <v>MechaDyn</v>
      </c>
      <c r="K6" s="29"/>
    </row>
    <row r="7" spans="1:11" x14ac:dyDescent="0.3">
      <c r="F7" s="8" t="str">
        <v>Guidance</v>
      </c>
      <c r="K7" s="29" t="s">
        <v>198</v>
      </c>
    </row>
    <row r="8" spans="1:11" x14ac:dyDescent="0.3">
      <c r="F8" s="8" t="str">
        <v>Supply</v>
      </c>
      <c r="K8" s="29"/>
    </row>
    <row r="9" spans="1:11" x14ac:dyDescent="0.3">
      <c r="K9" s="29" t="s">
        <v>199</v>
      </c>
    </row>
    <row r="11" spans="1:11" x14ac:dyDescent="0.3">
      <c r="K11" t="s">
        <v>200</v>
      </c>
    </row>
    <row r="13" spans="1:11" x14ac:dyDescent="0.3">
      <c r="A13" s="20" t="s">
        <v>192</v>
      </c>
      <c r="B13" s="20" t="s">
        <v>193</v>
      </c>
      <c r="K13" t="s">
        <v>201</v>
      </c>
    </row>
    <row r="14" spans="1:11" x14ac:dyDescent="0.3">
      <c r="A14" s="17" t="s">
        <v>194</v>
      </c>
      <c r="B14" s="17">
        <v>1</v>
      </c>
      <c r="K14" s="29"/>
    </row>
    <row r="15" spans="1:11" x14ac:dyDescent="0.3">
      <c r="A15" s="17" t="s">
        <v>26</v>
      </c>
      <c r="B15" s="17">
        <v>1.3</v>
      </c>
      <c r="K15" s="29" t="s">
        <v>202</v>
      </c>
    </row>
    <row r="16" spans="1:11" x14ac:dyDescent="0.3">
      <c r="K16" s="29"/>
    </row>
    <row r="17" spans="11:11" x14ac:dyDescent="0.3">
      <c r="K17" s="29" t="s">
        <v>203</v>
      </c>
    </row>
    <row r="18" spans="11:11" x14ac:dyDescent="0.3">
      <c r="K18" s="29"/>
    </row>
    <row r="19" spans="11:11" x14ac:dyDescent="0.3">
      <c r="K19" s="29" t="s">
        <v>204</v>
      </c>
    </row>
    <row r="20" spans="11:11" x14ac:dyDescent="0.3">
      <c r="K20" s="29"/>
    </row>
    <row r="21" spans="11:11" x14ac:dyDescent="0.3">
      <c r="K21" s="29" t="s">
        <v>205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09C5-012E-4962-BEB9-3D4B6D8F4F3E}">
  <dimension ref="A1:P84"/>
  <sheetViews>
    <sheetView topLeftCell="A67" workbookViewId="0">
      <selection activeCell="C3" sqref="C3"/>
    </sheetView>
  </sheetViews>
  <sheetFormatPr defaultRowHeight="14.4" x14ac:dyDescent="0.3"/>
  <cols>
    <col min="1" max="1" width="27.109375" customWidth="1"/>
    <col min="2" max="2" width="17.109375" customWidth="1"/>
    <col min="3" max="3" width="16.88671875" customWidth="1"/>
    <col min="4" max="4" width="18.5546875" customWidth="1"/>
    <col min="5" max="5" width="22.109375" customWidth="1"/>
    <col min="6" max="6" width="22.88671875" customWidth="1"/>
    <col min="7" max="7" width="25.33203125" customWidth="1"/>
    <col min="8" max="8" width="20.33203125" customWidth="1"/>
    <col min="9" max="9" width="10" customWidth="1"/>
    <col min="10" max="10" width="17.33203125" customWidth="1"/>
    <col min="12" max="12" width="17.21875" customWidth="1"/>
  </cols>
  <sheetData>
    <row r="1" spans="1:7" ht="33.6" x14ac:dyDescent="0.3">
      <c r="A1" s="70" t="s">
        <v>210</v>
      </c>
      <c r="E1" s="72"/>
    </row>
    <row r="2" spans="1:7" x14ac:dyDescent="0.3">
      <c r="E2" s="72"/>
    </row>
    <row r="3" spans="1:7" x14ac:dyDescent="0.3">
      <c r="A3" s="21" t="s">
        <v>206</v>
      </c>
      <c r="B3" s="21" t="s">
        <v>207</v>
      </c>
      <c r="E3" s="72"/>
    </row>
    <row r="4" spans="1:7" x14ac:dyDescent="0.3">
      <c r="A4" s="17" t="str" cm="1">
        <f t="array" ref="A4:A10">Table3[Scenario]</f>
        <v>Baseline</v>
      </c>
      <c r="B4" s="28">
        <f>(Calcul!$G$102)*(scenario_multipliers!D15)*(scenario_multipliers!E15)*scenario_multipliers!F15</f>
        <v>1798399479.5</v>
      </c>
      <c r="E4" s="72"/>
    </row>
    <row r="5" spans="1:7" x14ac:dyDescent="0.3">
      <c r="A5" s="17" t="str">
        <v>Budget_Cut_20</v>
      </c>
      <c r="B5" s="28">
        <f>(Calcul!$G$102)*(scenario_multipliers!D16)*(scenario_multipliers!E16)*scenario_multipliers!F16</f>
        <v>1438719583.6000001</v>
      </c>
      <c r="E5" s="72"/>
    </row>
    <row r="6" spans="1:7" x14ac:dyDescent="0.3">
      <c r="A6" s="17" t="str">
        <v>High_Threat_ME</v>
      </c>
      <c r="B6" s="28">
        <f>(Calcul!$G$102)*(scenario_multipliers!D17)*(scenario_multipliers!E17)*scenario_multipliers!F17</f>
        <v>2843719176.9593754</v>
      </c>
      <c r="E6" s="72"/>
    </row>
    <row r="7" spans="1:7" x14ac:dyDescent="0.3">
      <c r="A7" s="17" t="str">
        <v>Energy_Crisis</v>
      </c>
      <c r="B7" s="28">
        <f>(Calcul!$G$102)*(scenario_multipliers!D18)*(scenario_multipliers!E18)*scenario_multipliers!F18</f>
        <v>2517759271.2999997</v>
      </c>
      <c r="E7" s="72"/>
    </row>
    <row r="8" spans="1:7" x14ac:dyDescent="0.3">
      <c r="A8" s="17" t="str">
        <v>War_Surge</v>
      </c>
      <c r="B8" s="28">
        <f>(Calcul!$G$102)*(scenario_multipliers!D19)*(scenario_multipliers!E19)*scenario_multipliers!F19</f>
        <v>3927704463.2279992</v>
      </c>
      <c r="E8" s="72"/>
    </row>
    <row r="9" spans="1:7" x14ac:dyDescent="0.3">
      <c r="A9" s="17" t="str">
        <v>Pacific_Escalation</v>
      </c>
      <c r="B9" s="28">
        <f>(Calcul!$G$102)*(scenario_multipliers!D20)*(scenario_multipliers!E20)*scenario_multipliers!F20</f>
        <v>3226328666.223</v>
      </c>
      <c r="E9" s="72"/>
    </row>
    <row r="10" spans="1:7" x14ac:dyDescent="0.3">
      <c r="A10" s="17" t="str">
        <v>Maintenance_Shock</v>
      </c>
      <c r="B10" s="28">
        <f>(Calcul!$G$102)*(scenario_multipliers!D21)*(scenario_multipliers!E21)*scenario_multipliers!F21</f>
        <v>2697599219.25</v>
      </c>
      <c r="E10" s="72"/>
    </row>
    <row r="11" spans="1:7" x14ac:dyDescent="0.3">
      <c r="E11" s="72"/>
    </row>
    <row r="12" spans="1:7" x14ac:dyDescent="0.3">
      <c r="E12" s="72"/>
    </row>
    <row r="13" spans="1:7" ht="25.8" x14ac:dyDescent="0.5">
      <c r="A13" s="53" t="s">
        <v>211</v>
      </c>
      <c r="E13" s="72"/>
      <c r="F13" s="74" t="s">
        <v>248</v>
      </c>
      <c r="G13" s="36"/>
    </row>
    <row r="14" spans="1:7" x14ac:dyDescent="0.3">
      <c r="E14" s="72"/>
    </row>
    <row r="15" spans="1:7" ht="22.8" customHeight="1" x14ac:dyDescent="0.3">
      <c r="A15" s="5" t="s">
        <v>212</v>
      </c>
      <c r="B15" s="5" t="s">
        <v>213</v>
      </c>
      <c r="E15" s="72"/>
      <c r="F15" s="5" t="s">
        <v>212</v>
      </c>
      <c r="G15" s="5" t="s">
        <v>213</v>
      </c>
    </row>
    <row r="16" spans="1:7" x14ac:dyDescent="0.3">
      <c r="A16" s="35" t="s">
        <v>214</v>
      </c>
      <c r="B16" s="35" t="s">
        <v>215</v>
      </c>
      <c r="E16" s="72"/>
      <c r="F16" s="35" t="s">
        <v>214</v>
      </c>
      <c r="G16" s="76">
        <v>2000000000</v>
      </c>
    </row>
    <row r="17" spans="1:9" ht="20.399999999999999" customHeight="1" x14ac:dyDescent="0.3">
      <c r="A17" s="35" t="s">
        <v>216</v>
      </c>
      <c r="B17" s="35" t="s">
        <v>217</v>
      </c>
      <c r="E17" s="72"/>
      <c r="F17" s="35" t="s">
        <v>216</v>
      </c>
      <c r="G17" s="75">
        <f>B7</f>
        <v>2517759271.2999997</v>
      </c>
    </row>
    <row r="18" spans="1:9" x14ac:dyDescent="0.3">
      <c r="A18" s="35" t="s">
        <v>218</v>
      </c>
      <c r="B18" s="35" t="s">
        <v>219</v>
      </c>
      <c r="E18" s="72"/>
      <c r="F18" s="35" t="s">
        <v>218</v>
      </c>
      <c r="G18" s="75">
        <f>G17-G16</f>
        <v>517759271.29999971</v>
      </c>
    </row>
    <row r="19" spans="1:9" x14ac:dyDescent="0.3">
      <c r="E19" s="72"/>
    </row>
    <row r="20" spans="1:9" x14ac:dyDescent="0.3">
      <c r="E20" s="72"/>
    </row>
    <row r="21" spans="1:9" ht="28.8" x14ac:dyDescent="0.3">
      <c r="A21" s="5" t="s">
        <v>220</v>
      </c>
      <c r="B21" s="5" t="s">
        <v>221</v>
      </c>
      <c r="C21" s="5" t="s">
        <v>222</v>
      </c>
      <c r="D21" s="5" t="s">
        <v>223</v>
      </c>
      <c r="E21" s="72"/>
      <c r="F21" s="5" t="s">
        <v>220</v>
      </c>
      <c r="G21" s="5" t="s">
        <v>221</v>
      </c>
      <c r="H21" s="5" t="s">
        <v>222</v>
      </c>
      <c r="I21" s="5" t="s">
        <v>223</v>
      </c>
    </row>
    <row r="22" spans="1:9" x14ac:dyDescent="0.3">
      <c r="A22" s="40" t="s">
        <v>224</v>
      </c>
      <c r="B22" s="35">
        <f>scenario_multipliers!D19</f>
        <v>1.3</v>
      </c>
      <c r="C22" s="38">
        <f>scenario_multipliers!D29</f>
        <v>0.72816069202149103</v>
      </c>
      <c r="D22" s="39">
        <f>C22-B22</f>
        <v>-0.57183930797850901</v>
      </c>
      <c r="E22" s="72"/>
      <c r="F22" s="40" t="s">
        <v>224</v>
      </c>
      <c r="G22" s="35">
        <f>scenario_multipliers!J28</f>
        <v>1</v>
      </c>
      <c r="H22" s="38">
        <f>scenario_multipliers!J29</f>
        <v>0.79435711856889923</v>
      </c>
      <c r="I22" s="39">
        <f>H22-G22</f>
        <v>-0.20564288143110077</v>
      </c>
    </row>
    <row r="23" spans="1:9" x14ac:dyDescent="0.3">
      <c r="A23" s="41" t="s">
        <v>229</v>
      </c>
      <c r="B23" s="19">
        <f>scenario_multipliers!E28</f>
        <v>1.4</v>
      </c>
      <c r="C23" s="37">
        <f>scenario_multipliers!E30</f>
        <v>0.78417305294622153</v>
      </c>
      <c r="D23" s="39">
        <f t="shared" ref="D23:D24" si="0">C23-B23</f>
        <v>-0.61582694705377838</v>
      </c>
      <c r="E23" s="72"/>
      <c r="F23" s="41" t="s">
        <v>229</v>
      </c>
      <c r="G23" s="19">
        <f>scenario_multipliers!K28</f>
        <v>1</v>
      </c>
      <c r="H23" s="37">
        <f>scenario_multipliers!K30</f>
        <v>0.79435711856889923</v>
      </c>
      <c r="I23" s="39">
        <f t="shared" ref="I23:I24" si="1">H23-G23</f>
        <v>-0.20564288143110077</v>
      </c>
    </row>
    <row r="24" spans="1:9" x14ac:dyDescent="0.3">
      <c r="A24" s="41" t="s">
        <v>230</v>
      </c>
      <c r="B24" s="19">
        <f>scenario_multipliers!F28</f>
        <v>1.2</v>
      </c>
      <c r="C24" s="37">
        <f>scenario_multipliers!F31</f>
        <v>0.6721483310967612</v>
      </c>
      <c r="D24" s="39">
        <f t="shared" si="0"/>
        <v>-0.52785166890323876</v>
      </c>
      <c r="E24" s="72"/>
      <c r="F24" s="41" t="s">
        <v>230</v>
      </c>
      <c r="G24" s="19">
        <f>scenario_multipliers!L28</f>
        <v>1.4</v>
      </c>
      <c r="H24" s="37">
        <f>scenario_multipliers!L31</f>
        <v>1.1120999659964594</v>
      </c>
      <c r="I24" s="39">
        <f t="shared" si="1"/>
        <v>-0.28790003400354047</v>
      </c>
    </row>
    <row r="25" spans="1:9" x14ac:dyDescent="0.3">
      <c r="E25" s="72"/>
    </row>
    <row r="26" spans="1:9" ht="21" x14ac:dyDescent="0.4">
      <c r="A26" s="71" t="s">
        <v>231</v>
      </c>
      <c r="E26" s="72"/>
    </row>
    <row r="27" spans="1:9" x14ac:dyDescent="0.3">
      <c r="A27" s="21" t="s">
        <v>220</v>
      </c>
      <c r="B27" s="5" t="s">
        <v>223</v>
      </c>
      <c r="C27" s="5" t="s">
        <v>233</v>
      </c>
      <c r="D27" s="21" t="s">
        <v>232</v>
      </c>
      <c r="E27" s="72"/>
    </row>
    <row r="28" spans="1:9" x14ac:dyDescent="0.3">
      <c r="A28" s="42" t="s">
        <v>224</v>
      </c>
      <c r="B28" s="43">
        <v>-0.57183930797850901</v>
      </c>
      <c r="C28" s="35" t="s">
        <v>20</v>
      </c>
      <c r="D28" s="18" t="s">
        <v>26</v>
      </c>
      <c r="E28" s="72"/>
    </row>
    <row r="29" spans="1:9" x14ac:dyDescent="0.3">
      <c r="A29" s="41" t="s">
        <v>229</v>
      </c>
      <c r="B29" s="39">
        <v>-0.61582694705377838</v>
      </c>
      <c r="C29" s="35" t="s">
        <v>26</v>
      </c>
      <c r="D29" s="35" t="s">
        <v>20</v>
      </c>
      <c r="E29" s="72"/>
    </row>
    <row r="30" spans="1:9" x14ac:dyDescent="0.3">
      <c r="A30" s="41" t="s">
        <v>230</v>
      </c>
      <c r="B30" s="39">
        <v>-0.52785166890323876</v>
      </c>
      <c r="C30" s="35" t="s">
        <v>43</v>
      </c>
      <c r="D30" s="35" t="s">
        <v>20</v>
      </c>
      <c r="E30" s="72"/>
    </row>
    <row r="31" spans="1:9" x14ac:dyDescent="0.3">
      <c r="E31" s="72"/>
    </row>
    <row r="32" spans="1:9" x14ac:dyDescent="0.3">
      <c r="E32" s="72"/>
    </row>
    <row r="33" spans="1:8" ht="21" x14ac:dyDescent="0.4">
      <c r="A33" s="71" t="s">
        <v>247</v>
      </c>
      <c r="E33" s="72"/>
    </row>
    <row r="34" spans="1:8" ht="15" thickBot="1" x14ac:dyDescent="0.35">
      <c r="E34" s="72"/>
    </row>
    <row r="35" spans="1:8" x14ac:dyDescent="0.3">
      <c r="A35" s="69" t="s">
        <v>153</v>
      </c>
      <c r="B35" s="63">
        <f>B4</f>
        <v>1798399479.5</v>
      </c>
      <c r="E35" s="72"/>
    </row>
    <row r="36" spans="1:8" x14ac:dyDescent="0.3">
      <c r="A36" s="67" t="s">
        <v>226</v>
      </c>
      <c r="B36" s="64">
        <v>1.3</v>
      </c>
      <c r="E36" s="72"/>
    </row>
    <row r="37" spans="1:8" x14ac:dyDescent="0.3">
      <c r="A37" s="67" t="s">
        <v>227</v>
      </c>
      <c r="B37" s="65">
        <v>1.4</v>
      </c>
      <c r="E37" s="72"/>
    </row>
    <row r="38" spans="1:8" x14ac:dyDescent="0.3">
      <c r="A38" s="67" t="s">
        <v>228</v>
      </c>
      <c r="B38" s="65">
        <v>1.2</v>
      </c>
      <c r="E38" s="72"/>
    </row>
    <row r="39" spans="1:8" ht="15" thickBot="1" x14ac:dyDescent="0.35">
      <c r="A39" s="68" t="s">
        <v>234</v>
      </c>
      <c r="B39" s="66">
        <f>B35*B36*B37*B38</f>
        <v>3927704463.2279992</v>
      </c>
      <c r="E39" s="72"/>
    </row>
    <row r="40" spans="1:8" x14ac:dyDescent="0.3">
      <c r="E40" s="72"/>
    </row>
    <row r="41" spans="1:8" x14ac:dyDescent="0.3">
      <c r="E41" s="72"/>
    </row>
    <row r="42" spans="1:8" x14ac:dyDescent="0.3">
      <c r="A42" s="73" t="s">
        <v>226</v>
      </c>
      <c r="B42" s="85" t="s">
        <v>228</v>
      </c>
      <c r="C42" s="86"/>
      <c r="D42" s="86"/>
      <c r="E42" s="86"/>
      <c r="F42" s="86"/>
      <c r="G42" s="86"/>
      <c r="H42" s="86"/>
    </row>
    <row r="43" spans="1:8" x14ac:dyDescent="0.3">
      <c r="A43" s="49">
        <f>B39</f>
        <v>3927704463.2279992</v>
      </c>
      <c r="B43" s="21">
        <v>0</v>
      </c>
      <c r="C43" s="21">
        <v>0.2</v>
      </c>
      <c r="D43" s="21">
        <v>0.4</v>
      </c>
      <c r="E43" s="21">
        <v>0.6</v>
      </c>
      <c r="F43" s="21">
        <v>0.8</v>
      </c>
      <c r="G43" s="21">
        <v>1</v>
      </c>
      <c r="H43" s="21">
        <v>1.2</v>
      </c>
    </row>
    <row r="44" spans="1:8" x14ac:dyDescent="0.3">
      <c r="A44" s="44">
        <v>0</v>
      </c>
      <c r="B44" s="52">
        <v>0</v>
      </c>
      <c r="C44" s="48">
        <v>0</v>
      </c>
      <c r="D44" s="48">
        <v>0</v>
      </c>
      <c r="E44" s="48">
        <v>0</v>
      </c>
      <c r="F44" s="48">
        <v>0</v>
      </c>
      <c r="G44" s="48">
        <v>0</v>
      </c>
      <c r="H44" s="48">
        <v>0</v>
      </c>
    </row>
    <row r="45" spans="1:8" x14ac:dyDescent="0.3">
      <c r="A45" s="44">
        <v>0.1</v>
      </c>
      <c r="B45" s="52">
        <v>0</v>
      </c>
      <c r="C45" s="48">
        <v>50355185.425999999</v>
      </c>
      <c r="D45" s="48">
        <v>100710370.852</v>
      </c>
      <c r="E45" s="48">
        <v>151065556.278</v>
      </c>
      <c r="F45" s="48">
        <v>201420741.704</v>
      </c>
      <c r="G45" s="48">
        <v>251775927.13</v>
      </c>
      <c r="H45" s="48">
        <v>302131112.55599999</v>
      </c>
    </row>
    <row r="46" spans="1:8" x14ac:dyDescent="0.3">
      <c r="A46" s="44">
        <v>0.2</v>
      </c>
      <c r="B46" s="52">
        <v>0</v>
      </c>
      <c r="C46" s="48">
        <v>100710370.852</v>
      </c>
      <c r="D46" s="48">
        <v>201420741.704</v>
      </c>
      <c r="E46" s="48">
        <v>302131112.55599999</v>
      </c>
      <c r="F46" s="48">
        <v>402841483.40799999</v>
      </c>
      <c r="G46" s="48">
        <v>503551854.25999999</v>
      </c>
      <c r="H46" s="48">
        <v>604262225.11199999</v>
      </c>
    </row>
    <row r="47" spans="1:8" x14ac:dyDescent="0.3">
      <c r="A47" s="44">
        <v>0.3</v>
      </c>
      <c r="B47" s="52">
        <v>0</v>
      </c>
      <c r="C47" s="48">
        <v>151065556.278</v>
      </c>
      <c r="D47" s="48">
        <v>302131112.55599999</v>
      </c>
      <c r="E47" s="48">
        <v>453196668.83399999</v>
      </c>
      <c r="F47" s="48">
        <v>604262225.11199999</v>
      </c>
      <c r="G47" s="48">
        <v>755327781.38999987</v>
      </c>
      <c r="H47" s="48">
        <v>906393337.66799998</v>
      </c>
    </row>
    <row r="48" spans="1:8" x14ac:dyDescent="0.3">
      <c r="A48" s="44">
        <v>0.4</v>
      </c>
      <c r="B48" s="52">
        <v>0</v>
      </c>
      <c r="C48" s="48">
        <v>201420741.704</v>
      </c>
      <c r="D48" s="48">
        <v>402841483.40799999</v>
      </c>
      <c r="E48" s="48">
        <v>604262225.11199999</v>
      </c>
      <c r="F48" s="48">
        <v>805682966.81599998</v>
      </c>
      <c r="G48" s="48">
        <v>1007103708.52</v>
      </c>
      <c r="H48" s="48">
        <v>1208524450.224</v>
      </c>
    </row>
    <row r="49" spans="1:8" x14ac:dyDescent="0.3">
      <c r="A49" s="44">
        <v>0.5</v>
      </c>
      <c r="B49" s="52">
        <v>0</v>
      </c>
      <c r="C49" s="48">
        <v>251775927.13</v>
      </c>
      <c r="D49" s="48">
        <v>503551854.25999999</v>
      </c>
      <c r="E49" s="48">
        <v>755327781.38999999</v>
      </c>
      <c r="F49" s="48">
        <v>1007103708.52</v>
      </c>
      <c r="G49" s="48">
        <v>1258879635.6499999</v>
      </c>
      <c r="H49" s="48">
        <v>1510655562.78</v>
      </c>
    </row>
    <row r="50" spans="1:8" x14ac:dyDescent="0.3">
      <c r="A50" s="44">
        <v>0.6</v>
      </c>
      <c r="B50" s="52">
        <v>0</v>
      </c>
      <c r="C50" s="48">
        <v>302131112.55599999</v>
      </c>
      <c r="D50" s="48">
        <v>604262225.11199999</v>
      </c>
      <c r="E50" s="48">
        <v>906393337.66799998</v>
      </c>
      <c r="F50" s="48">
        <v>1208524450.224</v>
      </c>
      <c r="G50" s="48">
        <v>1510655562.7799997</v>
      </c>
      <c r="H50" s="48">
        <v>1812786675.336</v>
      </c>
    </row>
    <row r="51" spans="1:8" x14ac:dyDescent="0.3">
      <c r="A51" s="44">
        <v>0.7</v>
      </c>
      <c r="B51" s="52">
        <v>0</v>
      </c>
      <c r="C51" s="48">
        <v>352486297.98199999</v>
      </c>
      <c r="D51" s="48">
        <v>704972595.96399999</v>
      </c>
      <c r="E51" s="48">
        <v>1057458893.9459999</v>
      </c>
      <c r="F51" s="48">
        <v>1409945191.928</v>
      </c>
      <c r="G51" s="48">
        <v>1762431489.9099996</v>
      </c>
      <c r="H51" s="48">
        <v>2114917787.8919997</v>
      </c>
    </row>
    <row r="52" spans="1:8" x14ac:dyDescent="0.3">
      <c r="A52" s="44">
        <v>0.8</v>
      </c>
      <c r="B52" s="52">
        <v>0</v>
      </c>
      <c r="C52" s="48">
        <v>402841483.40799999</v>
      </c>
      <c r="D52" s="48">
        <v>805682966.81599998</v>
      </c>
      <c r="E52" s="48">
        <v>1208524450.224</v>
      </c>
      <c r="F52" s="48">
        <v>1611365933.632</v>
      </c>
      <c r="G52" s="48">
        <v>2014207417.04</v>
      </c>
      <c r="H52" s="48">
        <v>2417048900.448</v>
      </c>
    </row>
    <row r="53" spans="1:8" x14ac:dyDescent="0.3">
      <c r="A53" s="44">
        <v>0.9</v>
      </c>
      <c r="B53" s="52">
        <v>0</v>
      </c>
      <c r="C53" s="48">
        <v>453196668.83399999</v>
      </c>
      <c r="D53" s="48">
        <v>906393337.66799998</v>
      </c>
      <c r="E53" s="48">
        <v>1359590006.5020001</v>
      </c>
      <c r="F53" s="48">
        <v>1812786675.336</v>
      </c>
      <c r="G53" s="48">
        <v>2265983344.1699996</v>
      </c>
      <c r="H53" s="48">
        <v>2719180013.0040002</v>
      </c>
    </row>
    <row r="54" spans="1:8" x14ac:dyDescent="0.3">
      <c r="A54" s="44">
        <v>1</v>
      </c>
      <c r="B54" s="52">
        <v>0</v>
      </c>
      <c r="C54" s="48">
        <v>503551854.25999999</v>
      </c>
      <c r="D54" s="48">
        <v>1007103708.52</v>
      </c>
      <c r="E54" s="48">
        <v>1510655562.78</v>
      </c>
      <c r="F54" s="48">
        <v>2014207417.04</v>
      </c>
      <c r="G54" s="48">
        <v>2517759271.2999997</v>
      </c>
      <c r="H54" s="48">
        <v>3021311125.5599999</v>
      </c>
    </row>
    <row r="55" spans="1:8" x14ac:dyDescent="0.3">
      <c r="A55" s="44">
        <v>1.1000000000000001</v>
      </c>
      <c r="B55" s="52">
        <v>0</v>
      </c>
      <c r="C55" s="48">
        <v>553907039.68599999</v>
      </c>
      <c r="D55" s="48">
        <v>1107814079.372</v>
      </c>
      <c r="E55" s="48">
        <v>1661721119.0580001</v>
      </c>
      <c r="F55" s="48">
        <v>2215628158.744</v>
      </c>
      <c r="G55" s="48">
        <v>2769535198.4299998</v>
      </c>
      <c r="H55" s="48">
        <v>3323442238.1160002</v>
      </c>
    </row>
    <row r="56" spans="1:8" x14ac:dyDescent="0.3">
      <c r="A56" s="44">
        <v>1.2</v>
      </c>
      <c r="B56" s="52">
        <v>0</v>
      </c>
      <c r="C56" s="48">
        <v>604262225.11199999</v>
      </c>
      <c r="D56" s="48">
        <v>1208524450.224</v>
      </c>
      <c r="E56" s="48">
        <v>1812786675.336</v>
      </c>
      <c r="F56" s="48">
        <v>2417048900.448</v>
      </c>
      <c r="G56" s="48">
        <v>3021311125.5599995</v>
      </c>
      <c r="H56" s="48">
        <v>3625573350.6719999</v>
      </c>
    </row>
    <row r="57" spans="1:8" x14ac:dyDescent="0.3">
      <c r="A57" s="44">
        <v>1.3</v>
      </c>
      <c r="B57" s="52">
        <v>0</v>
      </c>
      <c r="C57" s="48">
        <v>654617410.53799999</v>
      </c>
      <c r="D57" s="48">
        <v>1309234821.076</v>
      </c>
      <c r="E57" s="48">
        <v>1963852231.6140001</v>
      </c>
      <c r="F57" s="48">
        <v>2618469642.152</v>
      </c>
      <c r="G57" s="48">
        <v>3273087052.6899996</v>
      </c>
      <c r="H57" s="48">
        <v>3927704463.2280002</v>
      </c>
    </row>
    <row r="63" spans="1:8" ht="21" x14ac:dyDescent="0.4">
      <c r="A63" s="71" t="s">
        <v>247</v>
      </c>
    </row>
    <row r="64" spans="1:8" ht="15" thickBot="1" x14ac:dyDescent="0.35"/>
    <row r="65" spans="1:16" x14ac:dyDescent="0.3">
      <c r="A65" s="69" t="s">
        <v>153</v>
      </c>
      <c r="B65" s="63">
        <f>B4</f>
        <v>1798399479.5</v>
      </c>
    </row>
    <row r="66" spans="1:16" x14ac:dyDescent="0.3">
      <c r="A66" s="67" t="s">
        <v>226</v>
      </c>
      <c r="B66" s="64">
        <v>1</v>
      </c>
    </row>
    <row r="67" spans="1:16" x14ac:dyDescent="0.3">
      <c r="A67" s="67" t="s">
        <v>227</v>
      </c>
      <c r="B67" s="65">
        <v>1</v>
      </c>
    </row>
    <row r="68" spans="1:16" x14ac:dyDescent="0.3">
      <c r="A68" s="67" t="s">
        <v>228</v>
      </c>
      <c r="B68" s="65">
        <v>1.4</v>
      </c>
    </row>
    <row r="69" spans="1:16" ht="15" thickBot="1" x14ac:dyDescent="0.35">
      <c r="A69" s="68" t="s">
        <v>234</v>
      </c>
      <c r="B69" s="66">
        <f>B65*B66*B67*B68</f>
        <v>2517759271.2999997</v>
      </c>
    </row>
    <row r="72" spans="1:16" x14ac:dyDescent="0.3">
      <c r="A72" s="3" t="s">
        <v>250</v>
      </c>
      <c r="B72" t="s">
        <v>251</v>
      </c>
    </row>
    <row r="73" spans="1:16" x14ac:dyDescent="0.3">
      <c r="A73" s="78">
        <f>B69</f>
        <v>2517759271.2999997</v>
      </c>
      <c r="B73" s="32">
        <v>0</v>
      </c>
      <c r="C73" s="32">
        <v>0.1</v>
      </c>
      <c r="D73" s="32">
        <v>0.2</v>
      </c>
      <c r="E73" s="32">
        <v>0.3</v>
      </c>
      <c r="F73" s="32">
        <v>0.4</v>
      </c>
      <c r="G73" s="32">
        <v>0.5</v>
      </c>
      <c r="H73" s="32">
        <v>0.6</v>
      </c>
      <c r="I73" s="32">
        <v>0.7</v>
      </c>
      <c r="J73" s="32">
        <v>0.8</v>
      </c>
      <c r="K73" s="32">
        <v>0.9</v>
      </c>
      <c r="L73" s="32">
        <v>1</v>
      </c>
      <c r="M73" s="32">
        <v>1.1000000000000001</v>
      </c>
      <c r="N73" s="32">
        <v>1.2</v>
      </c>
      <c r="O73" s="32">
        <v>1.3</v>
      </c>
      <c r="P73" s="32">
        <v>1.4</v>
      </c>
    </row>
    <row r="74" spans="1:16" x14ac:dyDescent="0.3">
      <c r="A74" s="32">
        <v>0</v>
      </c>
      <c r="B74">
        <f t="dataTable" ref="B74:P84" dt2D="1" dtr="1" r1="B66" r2="B68"/>
        <v>0</v>
      </c>
      <c r="C74">
        <v>0</v>
      </c>
      <c r="D74">
        <v>0</v>
      </c>
      <c r="E74">
        <v>0</v>
      </c>
      <c r="F74">
        <v>0</v>
      </c>
      <c r="G74">
        <v>0</v>
      </c>
      <c r="H74">
        <v>0</v>
      </c>
      <c r="I74">
        <v>0</v>
      </c>
      <c r="J74">
        <v>0</v>
      </c>
      <c r="K74">
        <v>0</v>
      </c>
      <c r="L74">
        <v>0</v>
      </c>
      <c r="M74">
        <v>0</v>
      </c>
      <c r="N74">
        <v>0</v>
      </c>
      <c r="O74">
        <v>0</v>
      </c>
      <c r="P74">
        <v>0</v>
      </c>
    </row>
    <row r="75" spans="1:16" x14ac:dyDescent="0.3">
      <c r="A75" s="32">
        <v>0.1</v>
      </c>
      <c r="B75">
        <v>0</v>
      </c>
      <c r="C75">
        <v>17983994.795000002</v>
      </c>
      <c r="D75">
        <v>35967989.590000004</v>
      </c>
      <c r="E75">
        <v>53951984.385000005</v>
      </c>
      <c r="F75">
        <v>71935979.180000007</v>
      </c>
      <c r="G75">
        <v>89919973.975000009</v>
      </c>
      <c r="H75">
        <v>107903968.77000001</v>
      </c>
      <c r="I75">
        <v>125887963.565</v>
      </c>
      <c r="J75">
        <v>143871958.36000001</v>
      </c>
      <c r="K75">
        <v>161855953.155</v>
      </c>
      <c r="L75">
        <v>179839947.95000002</v>
      </c>
      <c r="M75">
        <v>197823942.745</v>
      </c>
      <c r="N75">
        <v>215807937.54000002</v>
      </c>
      <c r="O75">
        <v>233791932.33500001</v>
      </c>
      <c r="P75">
        <v>251775927.13</v>
      </c>
    </row>
    <row r="76" spans="1:16" x14ac:dyDescent="0.3">
      <c r="A76" s="32">
        <v>0.2</v>
      </c>
      <c r="B76">
        <v>0</v>
      </c>
      <c r="C76">
        <v>35967989.590000004</v>
      </c>
      <c r="D76">
        <v>71935979.180000007</v>
      </c>
      <c r="E76">
        <v>107903968.77000001</v>
      </c>
      <c r="F76">
        <v>143871958.36000001</v>
      </c>
      <c r="G76">
        <v>179839947.95000002</v>
      </c>
      <c r="H76">
        <v>215807937.54000002</v>
      </c>
      <c r="I76">
        <v>251775927.13</v>
      </c>
      <c r="J76">
        <v>287743916.72000003</v>
      </c>
      <c r="K76">
        <v>323711906.31</v>
      </c>
      <c r="L76">
        <v>359679895.90000004</v>
      </c>
      <c r="M76">
        <v>395647885.49000001</v>
      </c>
      <c r="N76">
        <v>431615875.08000004</v>
      </c>
      <c r="O76">
        <v>467583864.67000002</v>
      </c>
      <c r="P76">
        <v>503551854.25999999</v>
      </c>
    </row>
    <row r="77" spans="1:16" x14ac:dyDescent="0.3">
      <c r="A77" s="32">
        <v>0.3</v>
      </c>
      <c r="B77">
        <v>0</v>
      </c>
      <c r="C77">
        <v>53951984.385000005</v>
      </c>
      <c r="D77">
        <v>107903968.77000001</v>
      </c>
      <c r="E77">
        <v>161855953.155</v>
      </c>
      <c r="F77">
        <v>215807937.54000002</v>
      </c>
      <c r="G77">
        <v>269759921.92500001</v>
      </c>
      <c r="H77">
        <v>323711906.31</v>
      </c>
      <c r="I77">
        <v>377663890.69499993</v>
      </c>
      <c r="J77">
        <v>431615875.08000004</v>
      </c>
      <c r="K77">
        <v>485567859.46499997</v>
      </c>
      <c r="L77">
        <v>539519843.85000002</v>
      </c>
      <c r="M77">
        <v>593471828.23500001</v>
      </c>
      <c r="N77">
        <v>647423812.62</v>
      </c>
      <c r="O77">
        <v>701375797.005</v>
      </c>
      <c r="P77">
        <v>755327781.38999987</v>
      </c>
    </row>
    <row r="78" spans="1:16" x14ac:dyDescent="0.3">
      <c r="A78" s="32">
        <v>0.4</v>
      </c>
      <c r="B78">
        <v>0</v>
      </c>
      <c r="C78">
        <v>71935979.180000007</v>
      </c>
      <c r="D78">
        <v>143871958.36000001</v>
      </c>
      <c r="E78">
        <v>215807937.54000002</v>
      </c>
      <c r="F78">
        <v>287743916.72000003</v>
      </c>
      <c r="G78">
        <v>359679895.90000004</v>
      </c>
      <c r="H78">
        <v>431615875.08000004</v>
      </c>
      <c r="I78">
        <v>503551854.25999999</v>
      </c>
      <c r="J78">
        <v>575487833.44000006</v>
      </c>
      <c r="K78">
        <v>647423812.62</v>
      </c>
      <c r="L78">
        <v>719359791.80000007</v>
      </c>
      <c r="M78">
        <v>791295770.98000002</v>
      </c>
      <c r="N78">
        <v>863231750.16000009</v>
      </c>
      <c r="O78">
        <v>935167729.34000003</v>
      </c>
      <c r="P78">
        <v>1007103708.52</v>
      </c>
    </row>
    <row r="79" spans="1:16" x14ac:dyDescent="0.3">
      <c r="A79" s="32">
        <v>0.5</v>
      </c>
      <c r="B79">
        <v>0</v>
      </c>
      <c r="C79">
        <v>89919973.975000009</v>
      </c>
      <c r="D79">
        <v>179839947.95000002</v>
      </c>
      <c r="E79">
        <v>269759921.92500001</v>
      </c>
      <c r="F79">
        <v>359679895.90000004</v>
      </c>
      <c r="G79">
        <v>449599869.875</v>
      </c>
      <c r="H79">
        <v>539519843.85000002</v>
      </c>
      <c r="I79">
        <v>629439817.82499993</v>
      </c>
      <c r="J79">
        <v>719359791.80000007</v>
      </c>
      <c r="K79">
        <v>809279765.77499998</v>
      </c>
      <c r="L79">
        <v>899199739.75</v>
      </c>
      <c r="M79">
        <v>989119713.72500002</v>
      </c>
      <c r="N79">
        <v>1079039687.7</v>
      </c>
      <c r="O79">
        <v>1168959661.675</v>
      </c>
      <c r="P79">
        <v>1258879635.6499999</v>
      </c>
    </row>
    <row r="80" spans="1:16" x14ac:dyDescent="0.3">
      <c r="A80" s="32">
        <v>0.6</v>
      </c>
      <c r="B80">
        <v>0</v>
      </c>
      <c r="C80">
        <v>107903968.77000001</v>
      </c>
      <c r="D80">
        <v>215807937.54000002</v>
      </c>
      <c r="E80">
        <v>323711906.31</v>
      </c>
      <c r="F80">
        <v>431615875.08000004</v>
      </c>
      <c r="G80">
        <v>539519843.85000002</v>
      </c>
      <c r="H80">
        <v>647423812.62</v>
      </c>
      <c r="I80">
        <v>755327781.38999987</v>
      </c>
      <c r="J80">
        <v>863231750.16000009</v>
      </c>
      <c r="K80">
        <v>971135718.92999995</v>
      </c>
      <c r="L80">
        <v>1079039687.7</v>
      </c>
      <c r="M80">
        <v>1186943656.47</v>
      </c>
      <c r="N80">
        <v>1294847625.24</v>
      </c>
      <c r="O80">
        <v>1402751594.01</v>
      </c>
      <c r="P80">
        <v>1510655562.7799997</v>
      </c>
    </row>
    <row r="81" spans="1:16" x14ac:dyDescent="0.3">
      <c r="A81" s="32">
        <v>0.7</v>
      </c>
      <c r="B81">
        <v>0</v>
      </c>
      <c r="C81">
        <v>125887963.565</v>
      </c>
      <c r="D81">
        <v>251775927.13</v>
      </c>
      <c r="E81">
        <v>377663890.69499999</v>
      </c>
      <c r="F81">
        <v>503551854.25999999</v>
      </c>
      <c r="G81">
        <v>629439817.82499993</v>
      </c>
      <c r="H81">
        <v>755327781.38999999</v>
      </c>
      <c r="I81">
        <v>881215744.9549998</v>
      </c>
      <c r="J81">
        <v>1007103708.52</v>
      </c>
      <c r="K81">
        <v>1132991672.0849998</v>
      </c>
      <c r="L81">
        <v>1258879635.6499999</v>
      </c>
      <c r="M81">
        <v>1384767599.2149999</v>
      </c>
      <c r="N81">
        <v>1510655562.78</v>
      </c>
      <c r="O81">
        <v>1636543526.3449998</v>
      </c>
      <c r="P81">
        <v>1762431489.9099996</v>
      </c>
    </row>
    <row r="82" spans="1:16" x14ac:dyDescent="0.3">
      <c r="A82" s="32">
        <v>0.8</v>
      </c>
      <c r="B82">
        <v>0</v>
      </c>
      <c r="C82">
        <v>143871958.36000001</v>
      </c>
      <c r="D82">
        <v>287743916.72000003</v>
      </c>
      <c r="E82">
        <v>431615875.08000004</v>
      </c>
      <c r="F82">
        <v>575487833.44000006</v>
      </c>
      <c r="G82">
        <v>719359791.80000007</v>
      </c>
      <c r="H82">
        <v>863231750.16000009</v>
      </c>
      <c r="I82">
        <v>1007103708.52</v>
      </c>
      <c r="J82">
        <v>1150975666.8800001</v>
      </c>
      <c r="K82">
        <v>1294847625.24</v>
      </c>
      <c r="L82">
        <v>1438719583.6000001</v>
      </c>
      <c r="M82">
        <v>1582591541.96</v>
      </c>
      <c r="N82">
        <v>1726463500.3200002</v>
      </c>
      <c r="O82">
        <v>1870335458.6800001</v>
      </c>
      <c r="P82">
        <v>2014207417.04</v>
      </c>
    </row>
    <row r="83" spans="1:16" x14ac:dyDescent="0.3">
      <c r="A83" s="32">
        <v>0.9</v>
      </c>
      <c r="B83">
        <v>0</v>
      </c>
      <c r="C83">
        <v>161855953.15500003</v>
      </c>
      <c r="D83">
        <v>323711906.31000006</v>
      </c>
      <c r="E83">
        <v>485567859.46500003</v>
      </c>
      <c r="F83">
        <v>647423812.62000012</v>
      </c>
      <c r="G83">
        <v>809279765.77499998</v>
      </c>
      <c r="H83">
        <v>971135718.93000007</v>
      </c>
      <c r="I83">
        <v>1132991672.0849998</v>
      </c>
      <c r="J83">
        <v>1294847625.2400002</v>
      </c>
      <c r="K83">
        <v>1456703578.395</v>
      </c>
      <c r="L83">
        <v>1618559531.55</v>
      </c>
      <c r="M83">
        <v>1780415484.7050002</v>
      </c>
      <c r="N83">
        <v>1942271437.8600001</v>
      </c>
      <c r="O83">
        <v>2104127391.0149999</v>
      </c>
      <c r="P83">
        <v>2265983344.1699996</v>
      </c>
    </row>
    <row r="84" spans="1:16" x14ac:dyDescent="0.3">
      <c r="A84" s="32">
        <v>1</v>
      </c>
      <c r="B84">
        <v>0</v>
      </c>
      <c r="C84">
        <v>179839947.95000002</v>
      </c>
      <c r="D84">
        <v>359679895.90000004</v>
      </c>
      <c r="E84">
        <v>539519843.85000002</v>
      </c>
      <c r="F84">
        <v>719359791.80000007</v>
      </c>
      <c r="G84">
        <v>899199739.75</v>
      </c>
      <c r="H84">
        <v>1079039687.7</v>
      </c>
      <c r="I84">
        <v>1258879635.6499999</v>
      </c>
      <c r="J84">
        <v>1438719583.6000001</v>
      </c>
      <c r="K84">
        <v>1618559531.55</v>
      </c>
      <c r="L84">
        <v>1798399479.5</v>
      </c>
      <c r="M84">
        <v>1978239427.45</v>
      </c>
      <c r="N84">
        <v>2158079375.4000001</v>
      </c>
      <c r="O84">
        <v>2337919323.3499999</v>
      </c>
      <c r="P84">
        <v>2517759271.2999997</v>
      </c>
    </row>
  </sheetData>
  <mergeCells count="1">
    <mergeCell ref="B42:H42"/>
  </mergeCells>
  <conditionalFormatting sqref="B44:H57">
    <cfRule type="colorScale" priority="1">
      <colorScale>
        <cfvo type="min"/>
        <cfvo type="max"/>
        <color rgb="FFFCFCFF"/>
        <color rgb="FF00B0F0"/>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451CF4B-4945-4B3B-9FD3-254D352CCAC9}">
          <x14:formula1>
            <xm:f>scenario_multipliers!$A$2:$A$8</xm:f>
          </x14:formula1>
          <xm:sqref>F5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AAAC5-0BEB-43E3-ACD7-18783B8EF4B8}">
  <dimension ref="A1:I200"/>
  <sheetViews>
    <sheetView workbookViewId="0">
      <selection activeCell="I3" sqref="I3"/>
    </sheetView>
  </sheetViews>
  <sheetFormatPr defaultRowHeight="14.4" x14ac:dyDescent="0.3"/>
  <cols>
    <col min="1" max="1" width="19.5546875" customWidth="1"/>
    <col min="2" max="2" width="16.88671875" customWidth="1"/>
    <col min="3" max="3" width="14.5546875" customWidth="1"/>
    <col min="4" max="4" width="16.33203125" customWidth="1"/>
    <col min="5" max="5" width="29.33203125" customWidth="1"/>
    <col min="6" max="6" width="15.6640625" customWidth="1"/>
    <col min="7" max="7" width="20.5546875" customWidth="1"/>
    <col min="8" max="8" width="16.21875" style="3" customWidth="1"/>
    <col min="9" max="9" width="21.44140625" customWidth="1"/>
  </cols>
  <sheetData>
    <row r="1" spans="1:9" x14ac:dyDescent="0.3">
      <c r="A1" s="20" t="s">
        <v>1</v>
      </c>
      <c r="B1" s="20" t="s">
        <v>184</v>
      </c>
      <c r="C1" s="21" t="s">
        <v>185</v>
      </c>
      <c r="D1" s="23" t="s">
        <v>186</v>
      </c>
      <c r="E1" s="23" t="s">
        <v>187</v>
      </c>
      <c r="F1" s="21" t="s">
        <v>189</v>
      </c>
      <c r="G1" s="23" t="s">
        <v>188</v>
      </c>
      <c r="H1" s="23" t="s">
        <v>190</v>
      </c>
      <c r="I1" s="25" t="s">
        <v>191</v>
      </c>
    </row>
    <row r="2" spans="1:9" x14ac:dyDescent="0.3">
      <c r="A2" s="19" t="str" cm="1">
        <f t="array" ref="A2:A101">data1[Platform]</f>
        <v>Drone</v>
      </c>
      <c r="B2" s="19" cm="1">
        <f t="array" ref="B2:B101">data1[Cost_per_Hour_USD]</f>
        <v>1850</v>
      </c>
      <c r="C2" s="22" cm="1">
        <f t="array" ref="C2:C101">data1[Annual_Operating_Hours]</f>
        <v>2200</v>
      </c>
      <c r="D2" s="24">
        <f>B2*C2</f>
        <v>4070000</v>
      </c>
      <c r="E2" s="26" cm="1">
        <f t="array" ref="E2:E101">(data1[Energy_Consumption_kWh]) * (data1[Energy_Cost_per_kWh_USD]) *(data1[Annual_Operating_Hours])</f>
        <v>166320</v>
      </c>
      <c r="F2" s="28" cm="1">
        <f t="array" ref="F2:F101">data1[Annual_Maintenance_Cost_USD]</f>
        <v>85000</v>
      </c>
      <c r="G2" s="27">
        <f>SUM($D2,$E2,$F2)</f>
        <v>4321320</v>
      </c>
      <c r="H2" s="25" cm="1">
        <f t="array" ref="H2:H101">(data1[Uptime_%]) * (data1[Success_Rate])</f>
        <v>92.162999999999997</v>
      </c>
      <c r="I2" s="30" t="str">
        <f>IFERROR(_xlfn.XLOOKUP(data1[[#This Row],[Threat_Level]],validation!$A$14:$A$15,validation!$B$14:$B$15),"")</f>
        <v/>
      </c>
    </row>
    <row r="3" spans="1:9" x14ac:dyDescent="0.3">
      <c r="A3" s="19" t="str">
        <v>Drone</v>
      </c>
      <c r="B3" s="19">
        <v>2100</v>
      </c>
      <c r="C3" s="19">
        <v>2400</v>
      </c>
      <c r="D3" s="24">
        <f t="shared" ref="D3:D66" si="0">B3*C3</f>
        <v>5040000</v>
      </c>
      <c r="E3" s="26">
        <v>207359.99999999997</v>
      </c>
      <c r="F3" s="28">
        <v>120000</v>
      </c>
      <c r="G3" s="27">
        <f t="shared" ref="G3:G66" si="1">SUM($D3,$E3,$F3)</f>
        <v>5367360</v>
      </c>
      <c r="H3" s="25">
        <v>85.8</v>
      </c>
      <c r="I3" s="30">
        <f>IFERROR(_xlfn.XLOOKUP(data1[[#This Row],[Threat_Level]],validation!$A$14:$A$15,validation!$B$14:$B$15),"")</f>
        <v>1.3</v>
      </c>
    </row>
    <row r="4" spans="1:9" x14ac:dyDescent="0.3">
      <c r="A4" s="19" t="str">
        <v>Satellite</v>
      </c>
      <c r="B4" s="19">
        <v>4500</v>
      </c>
      <c r="C4" s="19">
        <v>8000</v>
      </c>
      <c r="D4" s="24">
        <f t="shared" si="0"/>
        <v>36000000</v>
      </c>
      <c r="E4" s="26">
        <v>1680000.0000000002</v>
      </c>
      <c r="F4" s="28">
        <v>150000</v>
      </c>
      <c r="G4" s="27">
        <f t="shared" si="1"/>
        <v>37830000</v>
      </c>
      <c r="H4" s="25">
        <v>95.807999999999993</v>
      </c>
      <c r="I4" s="30" t="str">
        <f>IFERROR(_xlfn.XLOOKUP(data1[[#This Row],[Threat_Level]],validation!$A$14:$A$15,validation!$B$14:$B$15),"")</f>
        <v/>
      </c>
    </row>
    <row r="5" spans="1:9" x14ac:dyDescent="0.3">
      <c r="A5" s="19" t="str">
        <v>Radar</v>
      </c>
      <c r="B5" s="19">
        <v>3200</v>
      </c>
      <c r="C5" s="19">
        <v>6000</v>
      </c>
      <c r="D5" s="24">
        <f t="shared" si="0"/>
        <v>19200000</v>
      </c>
      <c r="E5" s="26">
        <v>864000</v>
      </c>
      <c r="F5" s="28">
        <v>130000</v>
      </c>
      <c r="G5" s="27">
        <f t="shared" si="1"/>
        <v>20194000</v>
      </c>
      <c r="H5" s="25">
        <v>89.817000000000007</v>
      </c>
      <c r="I5" s="30">
        <f>IFERROR(_xlfn.XLOOKUP(data1[[#This Row],[Threat_Level]],validation!$A$14:$A$15,validation!$B$14:$B$15),"")</f>
        <v>1.3</v>
      </c>
    </row>
    <row r="6" spans="1:9" x14ac:dyDescent="0.3">
      <c r="A6" s="19" t="str">
        <v>UGV</v>
      </c>
      <c r="B6" s="19">
        <v>1750</v>
      </c>
      <c r="C6" s="19">
        <v>2000</v>
      </c>
      <c r="D6" s="24">
        <f t="shared" si="0"/>
        <v>3500000</v>
      </c>
      <c r="E6" s="26">
        <v>221000.00000000003</v>
      </c>
      <c r="F6" s="28">
        <v>90000</v>
      </c>
      <c r="G6" s="27">
        <f t="shared" si="1"/>
        <v>3811000</v>
      </c>
      <c r="H6" s="25">
        <v>83.334000000000003</v>
      </c>
      <c r="I6" s="30" t="str">
        <f>IFERROR(_xlfn.XLOOKUP(data1[[#This Row],[Threat_Level]],validation!$A$14:$A$15,validation!$B$14:$B$15),"")</f>
        <v/>
      </c>
    </row>
    <row r="7" spans="1:9" x14ac:dyDescent="0.3">
      <c r="A7" s="19" t="str">
        <v>Drone</v>
      </c>
      <c r="B7" s="19">
        <v>1820</v>
      </c>
      <c r="C7" s="19">
        <v>2300</v>
      </c>
      <c r="D7" s="24">
        <f t="shared" si="0"/>
        <v>4186000</v>
      </c>
      <c r="E7" s="26">
        <v>169740</v>
      </c>
      <c r="F7" s="28">
        <v>82000</v>
      </c>
      <c r="G7" s="27">
        <f t="shared" si="1"/>
        <v>4437740</v>
      </c>
      <c r="H7" s="25">
        <v>93.341999999999999</v>
      </c>
      <c r="I7" s="30" t="str">
        <f>IFERROR(_xlfn.XLOOKUP(data1[[#This Row],[Threat_Level]],validation!$A$14:$A$15,validation!$B$14:$B$15),"")</f>
        <v/>
      </c>
    </row>
    <row r="8" spans="1:9" x14ac:dyDescent="0.3">
      <c r="A8" s="19" t="str">
        <v>Satellite</v>
      </c>
      <c r="B8" s="19">
        <v>4800</v>
      </c>
      <c r="C8" s="19">
        <v>8200</v>
      </c>
      <c r="D8" s="24">
        <f t="shared" si="0"/>
        <v>39360000</v>
      </c>
      <c r="E8" s="26">
        <v>1836800.0000000002</v>
      </c>
      <c r="F8" s="28">
        <v>160000</v>
      </c>
      <c r="G8" s="27">
        <f t="shared" si="1"/>
        <v>41356800</v>
      </c>
      <c r="H8" s="25">
        <v>96.903000000000006</v>
      </c>
      <c r="I8" s="30" t="str">
        <f>IFERROR(_xlfn.XLOOKUP(data1[[#This Row],[Threat_Level]],validation!$A$14:$A$15,validation!$B$14:$B$15),"")</f>
        <v/>
      </c>
    </row>
    <row r="9" spans="1:9" x14ac:dyDescent="0.3">
      <c r="A9" s="19" t="str">
        <v>Radar</v>
      </c>
      <c r="B9" s="19">
        <v>3300</v>
      </c>
      <c r="C9" s="19">
        <v>6200</v>
      </c>
      <c r="D9" s="24">
        <f t="shared" si="0"/>
        <v>20460000</v>
      </c>
      <c r="E9" s="26">
        <v>932480</v>
      </c>
      <c r="F9" s="28">
        <v>140000</v>
      </c>
      <c r="G9" s="27">
        <f t="shared" si="1"/>
        <v>21532480</v>
      </c>
      <c r="H9" s="25">
        <v>87.042000000000002</v>
      </c>
      <c r="I9" s="30">
        <f>IFERROR(_xlfn.XLOOKUP(data1[[#This Row],[Threat_Level]],validation!$A$14:$A$15,validation!$B$14:$B$15),"")</f>
        <v>1.3</v>
      </c>
    </row>
    <row r="10" spans="1:9" x14ac:dyDescent="0.3">
      <c r="A10" s="19" t="str">
        <v>Drone</v>
      </c>
      <c r="B10" s="19">
        <v>2150</v>
      </c>
      <c r="C10" s="19">
        <v>2400</v>
      </c>
      <c r="D10" s="24">
        <f t="shared" si="0"/>
        <v>5160000</v>
      </c>
      <c r="E10" s="26">
        <v>220320</v>
      </c>
      <c r="F10" s="28">
        <v>125000</v>
      </c>
      <c r="G10" s="27">
        <f t="shared" si="1"/>
        <v>5505320</v>
      </c>
      <c r="H10" s="25">
        <v>81.77</v>
      </c>
      <c r="I10" s="30">
        <f>IFERROR(_xlfn.XLOOKUP(data1[[#This Row],[Threat_Level]],validation!$A$14:$A$15,validation!$B$14:$B$15),"")</f>
        <v>1.3</v>
      </c>
    </row>
    <row r="11" spans="1:9" x14ac:dyDescent="0.3">
      <c r="A11" s="19" t="str">
        <v>UGV</v>
      </c>
      <c r="B11" s="19">
        <v>1700</v>
      </c>
      <c r="C11" s="19">
        <v>2100</v>
      </c>
      <c r="D11" s="24">
        <f t="shared" si="0"/>
        <v>3570000</v>
      </c>
      <c r="E11" s="26">
        <v>214200.00000000003</v>
      </c>
      <c r="F11" s="28">
        <v>88000</v>
      </c>
      <c r="G11" s="27">
        <f t="shared" si="1"/>
        <v>3872200</v>
      </c>
      <c r="H11" s="25">
        <v>90.988000000000014</v>
      </c>
      <c r="I11" s="30" t="str">
        <f>IFERROR(_xlfn.XLOOKUP(data1[[#This Row],[Threat_Level]],validation!$A$14:$A$15,validation!$B$14:$B$15),"")</f>
        <v/>
      </c>
    </row>
    <row r="12" spans="1:9" x14ac:dyDescent="0.3">
      <c r="A12" s="19" t="str">
        <v>Satellite</v>
      </c>
      <c r="B12" s="19">
        <v>4600</v>
      </c>
      <c r="C12" s="19">
        <v>8100</v>
      </c>
      <c r="D12" s="24">
        <f t="shared" si="0"/>
        <v>37260000</v>
      </c>
      <c r="E12" s="26">
        <v>1757700.0000000002</v>
      </c>
      <c r="F12" s="28">
        <v>150000</v>
      </c>
      <c r="G12" s="27">
        <f t="shared" si="1"/>
        <v>39167700</v>
      </c>
      <c r="H12" s="25">
        <v>94.524999999999991</v>
      </c>
      <c r="I12" s="30" t="str">
        <f>IFERROR(_xlfn.XLOOKUP(data1[[#This Row],[Threat_Level]],validation!$A$14:$A$15,validation!$B$14:$B$15),"")</f>
        <v/>
      </c>
    </row>
    <row r="13" spans="1:9" x14ac:dyDescent="0.3">
      <c r="A13" s="19" t="str">
        <v>Radar</v>
      </c>
      <c r="B13" s="19">
        <v>3250</v>
      </c>
      <c r="C13" s="19">
        <v>6100</v>
      </c>
      <c r="D13" s="24">
        <f t="shared" si="0"/>
        <v>19825000</v>
      </c>
      <c r="E13" s="26">
        <v>888160</v>
      </c>
      <c r="F13" s="28">
        <v>132000</v>
      </c>
      <c r="G13" s="27">
        <f t="shared" si="1"/>
        <v>20845160</v>
      </c>
      <c r="H13" s="25">
        <v>88.289999999999992</v>
      </c>
      <c r="I13" s="30" t="str">
        <f>IFERROR(_xlfn.XLOOKUP(data1[[#This Row],[Threat_Level]],validation!$A$14:$A$15,validation!$B$14:$B$15),"")</f>
        <v/>
      </c>
    </row>
    <row r="14" spans="1:9" x14ac:dyDescent="0.3">
      <c r="A14" s="19" t="str">
        <v>Drone</v>
      </c>
      <c r="B14" s="19">
        <v>1900</v>
      </c>
      <c r="C14" s="19">
        <v>2300</v>
      </c>
      <c r="D14" s="24">
        <f t="shared" si="0"/>
        <v>4370000</v>
      </c>
      <c r="E14" s="26">
        <v>178019.99999999997</v>
      </c>
      <c r="F14" s="28">
        <v>90000</v>
      </c>
      <c r="G14" s="27">
        <f t="shared" si="1"/>
        <v>4638020</v>
      </c>
      <c r="H14" s="25">
        <v>89.635000000000005</v>
      </c>
      <c r="I14" s="30">
        <f>IFERROR(_xlfn.XLOOKUP(data1[[#This Row],[Threat_Level]],validation!$A$14:$A$15,validation!$B$14:$B$15),"")</f>
        <v>1.3</v>
      </c>
    </row>
    <row r="15" spans="1:9" x14ac:dyDescent="0.3">
      <c r="A15" s="19" t="str">
        <v>UGV</v>
      </c>
      <c r="B15" s="19">
        <v>1800</v>
      </c>
      <c r="C15" s="19">
        <v>2100</v>
      </c>
      <c r="D15" s="24">
        <f t="shared" si="0"/>
        <v>3780000</v>
      </c>
      <c r="E15" s="26">
        <v>239190</v>
      </c>
      <c r="F15" s="28">
        <v>95000</v>
      </c>
      <c r="G15" s="27">
        <f t="shared" si="1"/>
        <v>4114190</v>
      </c>
      <c r="H15" s="25">
        <v>84.564000000000007</v>
      </c>
      <c r="I15" s="30" t="str">
        <f>IFERROR(_xlfn.XLOOKUP(data1[[#This Row],[Threat_Level]],validation!$A$14:$A$15,validation!$B$14:$B$15),"")</f>
        <v/>
      </c>
    </row>
    <row r="16" spans="1:9" x14ac:dyDescent="0.3">
      <c r="A16" s="19" t="str">
        <v>Satellite</v>
      </c>
      <c r="B16" s="19">
        <v>4900</v>
      </c>
      <c r="C16" s="19">
        <v>8300</v>
      </c>
      <c r="D16" s="24">
        <f t="shared" si="0"/>
        <v>40670000</v>
      </c>
      <c r="E16" s="26">
        <v>1917300.0000000002</v>
      </c>
      <c r="F16" s="28">
        <v>170000</v>
      </c>
      <c r="G16" s="27">
        <f t="shared" si="1"/>
        <v>42757300</v>
      </c>
      <c r="H16" s="25">
        <v>97.902000000000001</v>
      </c>
      <c r="I16" s="30" t="str">
        <f>IFERROR(_xlfn.XLOOKUP(data1[[#This Row],[Threat_Level]],validation!$A$14:$A$15,validation!$B$14:$B$15),"")</f>
        <v/>
      </c>
    </row>
    <row r="17" spans="1:9" x14ac:dyDescent="0.3">
      <c r="A17" s="19" t="str">
        <v>Radar</v>
      </c>
      <c r="B17" s="19">
        <v>3350</v>
      </c>
      <c r="C17" s="19">
        <v>6200</v>
      </c>
      <c r="D17" s="24">
        <f t="shared" si="0"/>
        <v>20770000</v>
      </c>
      <c r="E17" s="26">
        <v>952320</v>
      </c>
      <c r="F17" s="28">
        <v>145000</v>
      </c>
      <c r="G17" s="27">
        <f t="shared" si="1"/>
        <v>21867320</v>
      </c>
      <c r="H17" s="25">
        <v>85.712000000000003</v>
      </c>
      <c r="I17" s="30">
        <f>IFERROR(_xlfn.XLOOKUP(data1[[#This Row],[Threat_Level]],validation!$A$14:$A$15,validation!$B$14:$B$15),"")</f>
        <v>1.3</v>
      </c>
    </row>
    <row r="18" spans="1:9" x14ac:dyDescent="0.3">
      <c r="A18" s="19" t="str">
        <v>Drone</v>
      </c>
      <c r="B18" s="19">
        <v>2200</v>
      </c>
      <c r="C18" s="19">
        <v>2500</v>
      </c>
      <c r="D18" s="24">
        <f t="shared" si="0"/>
        <v>5500000</v>
      </c>
      <c r="E18" s="26">
        <v>234000</v>
      </c>
      <c r="F18" s="28">
        <v>130000</v>
      </c>
      <c r="G18" s="27">
        <f t="shared" si="1"/>
        <v>5864000</v>
      </c>
      <c r="H18" s="25">
        <v>82.99</v>
      </c>
      <c r="I18" s="30">
        <f>IFERROR(_xlfn.XLOOKUP(data1[[#This Row],[Threat_Level]],validation!$A$14:$A$15,validation!$B$14:$B$15),"")</f>
        <v>1.3</v>
      </c>
    </row>
    <row r="19" spans="1:9" x14ac:dyDescent="0.3">
      <c r="A19" s="19" t="str">
        <v>UGV</v>
      </c>
      <c r="B19" s="19">
        <v>1720</v>
      </c>
      <c r="C19" s="19">
        <v>2200</v>
      </c>
      <c r="D19" s="24">
        <f t="shared" si="0"/>
        <v>3784000</v>
      </c>
      <c r="E19" s="26">
        <v>228140</v>
      </c>
      <c r="F19" s="28">
        <v>87000</v>
      </c>
      <c r="G19" s="27">
        <f t="shared" si="1"/>
        <v>4099140</v>
      </c>
      <c r="H19" s="25">
        <v>92.070000000000007</v>
      </c>
      <c r="I19" s="30" t="str">
        <f>IFERROR(_xlfn.XLOOKUP(data1[[#This Row],[Threat_Level]],validation!$A$14:$A$15,validation!$B$14:$B$15),"")</f>
        <v/>
      </c>
    </row>
    <row r="20" spans="1:9" x14ac:dyDescent="0.3">
      <c r="A20" s="19" t="str">
        <v>Satellite</v>
      </c>
      <c r="B20" s="19">
        <v>4700</v>
      </c>
      <c r="C20" s="19">
        <v>8200</v>
      </c>
      <c r="D20" s="24">
        <f t="shared" si="0"/>
        <v>38540000</v>
      </c>
      <c r="E20" s="26">
        <v>1813840.0000000002</v>
      </c>
      <c r="F20" s="28">
        <v>155000</v>
      </c>
      <c r="G20" s="27">
        <f t="shared" si="1"/>
        <v>40508840</v>
      </c>
      <c r="H20" s="25">
        <v>93.24799999999999</v>
      </c>
      <c r="I20" s="30" t="str">
        <f>IFERROR(_xlfn.XLOOKUP(data1[[#This Row],[Threat_Level]],validation!$A$14:$A$15,validation!$B$14:$B$15),"")</f>
        <v/>
      </c>
    </row>
    <row r="21" spans="1:9" x14ac:dyDescent="0.3">
      <c r="A21" s="19" t="str">
        <v>Radar</v>
      </c>
      <c r="B21" s="19">
        <v>3280</v>
      </c>
      <c r="C21" s="19">
        <v>6000</v>
      </c>
      <c r="D21" s="24">
        <f t="shared" si="0"/>
        <v>19680000</v>
      </c>
      <c r="E21" s="26">
        <v>883200.00000000012</v>
      </c>
      <c r="F21" s="28">
        <v>135000</v>
      </c>
      <c r="G21" s="27">
        <f t="shared" si="1"/>
        <v>20698200</v>
      </c>
      <c r="H21" s="25">
        <v>90.988000000000014</v>
      </c>
      <c r="I21" s="30" t="str">
        <f>IFERROR(_xlfn.XLOOKUP(data1[[#This Row],[Threat_Level]],validation!$A$14:$A$15,validation!$B$14:$B$15),"")</f>
        <v/>
      </c>
    </row>
    <row r="22" spans="1:9" x14ac:dyDescent="0.3">
      <c r="A22" s="19" t="str">
        <v>Drone</v>
      </c>
      <c r="B22" s="19">
        <v>1880</v>
      </c>
      <c r="C22" s="19">
        <v>2250</v>
      </c>
      <c r="D22" s="24">
        <f t="shared" si="0"/>
        <v>4230000</v>
      </c>
      <c r="E22" s="26">
        <v>178200</v>
      </c>
      <c r="F22" s="28">
        <v>89000</v>
      </c>
      <c r="G22" s="27">
        <f t="shared" si="1"/>
        <v>4497200</v>
      </c>
      <c r="H22" s="25">
        <v>90.896000000000001</v>
      </c>
      <c r="I22" s="30" t="str">
        <f>IFERROR(_xlfn.XLOOKUP(data1[[#This Row],[Threat_Level]],validation!$A$14:$A$15,validation!$B$14:$B$15),"")</f>
        <v/>
      </c>
    </row>
    <row r="23" spans="1:9" x14ac:dyDescent="0.3">
      <c r="A23" s="19" t="str">
        <v>UGV</v>
      </c>
      <c r="B23" s="19">
        <v>1850</v>
      </c>
      <c r="C23" s="19">
        <v>2600</v>
      </c>
      <c r="D23" s="24">
        <f t="shared" si="0"/>
        <v>4810000</v>
      </c>
      <c r="E23" s="26">
        <v>327600</v>
      </c>
      <c r="F23" s="28">
        <v>140000</v>
      </c>
      <c r="G23" s="27">
        <f t="shared" si="1"/>
        <v>5277600</v>
      </c>
      <c r="H23" s="25">
        <v>80.471999999999994</v>
      </c>
      <c r="I23" s="30">
        <f>IFERROR(_xlfn.XLOOKUP(data1[[#This Row],[Threat_Level]],validation!$A$14:$A$15,validation!$B$14:$B$15),"")</f>
        <v>1.3</v>
      </c>
    </row>
    <row r="24" spans="1:9" x14ac:dyDescent="0.3">
      <c r="A24" s="19" t="str">
        <v>Satellite</v>
      </c>
      <c r="B24" s="19">
        <v>4850</v>
      </c>
      <c r="C24" s="19">
        <v>8250</v>
      </c>
      <c r="D24" s="24">
        <f t="shared" si="0"/>
        <v>40012500</v>
      </c>
      <c r="E24" s="26">
        <v>1871100</v>
      </c>
      <c r="F24" s="28">
        <v>165000</v>
      </c>
      <c r="G24" s="27">
        <f t="shared" si="1"/>
        <v>42048600</v>
      </c>
      <c r="H24" s="25">
        <v>96.709000000000003</v>
      </c>
      <c r="I24" s="30" t="str">
        <f>IFERROR(_xlfn.XLOOKUP(data1[[#This Row],[Threat_Level]],validation!$A$14:$A$15,validation!$B$14:$B$15),"")</f>
        <v/>
      </c>
    </row>
    <row r="25" spans="1:9" x14ac:dyDescent="0.3">
      <c r="A25" s="19" t="str">
        <v>Radar</v>
      </c>
      <c r="B25" s="19">
        <v>3220</v>
      </c>
      <c r="C25" s="19">
        <v>6100</v>
      </c>
      <c r="D25" s="24">
        <f t="shared" si="0"/>
        <v>19642000</v>
      </c>
      <c r="E25" s="26">
        <v>883280.00000000012</v>
      </c>
      <c r="F25" s="28">
        <v>133000</v>
      </c>
      <c r="G25" s="27">
        <f t="shared" si="1"/>
        <v>20658280</v>
      </c>
      <c r="H25" s="25">
        <v>89.544000000000011</v>
      </c>
      <c r="I25" s="30" t="str">
        <f>IFERROR(_xlfn.XLOOKUP(data1[[#This Row],[Threat_Level]],validation!$A$14:$A$15,validation!$B$14:$B$15),"")</f>
        <v/>
      </c>
    </row>
    <row r="26" spans="1:9" x14ac:dyDescent="0.3">
      <c r="A26" s="19" t="str">
        <v>Drone</v>
      </c>
      <c r="B26" s="19">
        <v>2180</v>
      </c>
      <c r="C26" s="19">
        <v>2450</v>
      </c>
      <c r="D26" s="24">
        <f t="shared" si="0"/>
        <v>5341000</v>
      </c>
      <c r="E26" s="26">
        <v>233729.99999999997</v>
      </c>
      <c r="F26" s="28">
        <v>126000</v>
      </c>
      <c r="G26" s="27">
        <f t="shared" si="1"/>
        <v>5700730</v>
      </c>
      <c r="H26" s="25">
        <v>84.042000000000002</v>
      </c>
      <c r="I26" s="30">
        <f>IFERROR(_xlfn.XLOOKUP(data1[[#This Row],[Threat_Level]],validation!$A$14:$A$15,validation!$B$14:$B$15),"")</f>
        <v>1.3</v>
      </c>
    </row>
    <row r="27" spans="1:9" x14ac:dyDescent="0.3">
      <c r="A27" s="19" t="str">
        <v>Satellite</v>
      </c>
      <c r="B27" s="19">
        <v>4550</v>
      </c>
      <c r="C27" s="19">
        <v>8100</v>
      </c>
      <c r="D27" s="24">
        <f t="shared" si="0"/>
        <v>36855000</v>
      </c>
      <c r="E27" s="26">
        <v>1723680</v>
      </c>
      <c r="F27" s="28">
        <v>152000</v>
      </c>
      <c r="G27" s="27">
        <f t="shared" si="1"/>
        <v>38730680</v>
      </c>
      <c r="H27" s="25">
        <v>95.615999999999985</v>
      </c>
      <c r="I27" s="30" t="str">
        <f>IFERROR(_xlfn.XLOOKUP(data1[[#This Row],[Threat_Level]],validation!$A$14:$A$15,validation!$B$14:$B$15),"")</f>
        <v/>
      </c>
    </row>
    <row r="28" spans="1:9" x14ac:dyDescent="0.3">
      <c r="A28" s="19" t="str">
        <v>UGV</v>
      </c>
      <c r="B28" s="19">
        <v>1740</v>
      </c>
      <c r="C28" s="19">
        <v>2150</v>
      </c>
      <c r="D28" s="24">
        <f t="shared" si="0"/>
        <v>3741000</v>
      </c>
      <c r="E28" s="26">
        <v>226610</v>
      </c>
      <c r="F28" s="28">
        <v>88000</v>
      </c>
      <c r="G28" s="27">
        <f t="shared" si="1"/>
        <v>4055610</v>
      </c>
      <c r="H28" s="25">
        <v>93.153999999999996</v>
      </c>
      <c r="I28" s="30" t="str">
        <f>IFERROR(_xlfn.XLOOKUP(data1[[#This Row],[Threat_Level]],validation!$A$14:$A$15,validation!$B$14:$B$15),"")</f>
        <v/>
      </c>
    </row>
    <row r="29" spans="1:9" x14ac:dyDescent="0.3">
      <c r="A29" s="19" t="str">
        <v>Radar</v>
      </c>
      <c r="B29" s="19">
        <v>3340</v>
      </c>
      <c r="C29" s="19">
        <v>6200</v>
      </c>
      <c r="D29" s="24">
        <f t="shared" si="0"/>
        <v>20708000</v>
      </c>
      <c r="E29" s="26">
        <v>942400</v>
      </c>
      <c r="F29" s="28">
        <v>138000</v>
      </c>
      <c r="G29" s="27">
        <f t="shared" si="1"/>
        <v>21788400</v>
      </c>
      <c r="H29" s="25">
        <v>88.2</v>
      </c>
      <c r="I29" s="30">
        <f>IFERROR(_xlfn.XLOOKUP(data1[[#This Row],[Threat_Level]],validation!$A$14:$A$15,validation!$B$14:$B$15),"")</f>
        <v>1.3</v>
      </c>
    </row>
    <row r="30" spans="1:9" x14ac:dyDescent="0.3">
      <c r="A30" s="19" t="str">
        <v>Drone</v>
      </c>
      <c r="B30" s="19">
        <v>1800</v>
      </c>
      <c r="C30" s="19">
        <v>2300</v>
      </c>
      <c r="D30" s="24">
        <f t="shared" si="0"/>
        <v>4140000</v>
      </c>
      <c r="E30" s="26">
        <v>171810</v>
      </c>
      <c r="F30" s="28">
        <v>86000</v>
      </c>
      <c r="G30" s="27">
        <f t="shared" si="1"/>
        <v>4397810</v>
      </c>
      <c r="H30" s="25">
        <v>94.43</v>
      </c>
      <c r="I30" s="30" t="str">
        <f>IFERROR(_xlfn.XLOOKUP(data1[[#This Row],[Threat_Level]],validation!$A$14:$A$15,validation!$B$14:$B$15),"")</f>
        <v/>
      </c>
    </row>
    <row r="31" spans="1:9" x14ac:dyDescent="0.3">
      <c r="A31" s="19" t="str">
        <v>UGV</v>
      </c>
      <c r="B31" s="19">
        <v>1830</v>
      </c>
      <c r="C31" s="19">
        <v>2000</v>
      </c>
      <c r="D31" s="24">
        <f t="shared" si="0"/>
        <v>3660000</v>
      </c>
      <c r="E31" s="26">
        <v>234600.00000000003</v>
      </c>
      <c r="F31" s="28">
        <v>93000</v>
      </c>
      <c r="G31" s="27">
        <f t="shared" si="1"/>
        <v>3987600</v>
      </c>
      <c r="H31" s="25">
        <v>81.515000000000001</v>
      </c>
      <c r="I31" s="30">
        <f>IFERROR(_xlfn.XLOOKUP(data1[[#This Row],[Threat_Level]],validation!$A$14:$A$15,validation!$B$14:$B$15),"")</f>
        <v>1.3</v>
      </c>
    </row>
    <row r="32" spans="1:9" x14ac:dyDescent="0.3">
      <c r="A32" s="19" t="str">
        <v>Satellite</v>
      </c>
      <c r="B32" s="19">
        <v>4950</v>
      </c>
      <c r="C32" s="19">
        <v>8200</v>
      </c>
      <c r="D32" s="24">
        <f t="shared" si="0"/>
        <v>40590000</v>
      </c>
      <c r="E32" s="26">
        <v>1917160</v>
      </c>
      <c r="F32" s="28">
        <v>160000</v>
      </c>
      <c r="G32" s="27">
        <f t="shared" si="1"/>
        <v>42667160</v>
      </c>
      <c r="H32" s="25">
        <v>97.804000000000002</v>
      </c>
      <c r="I32" s="30" t="str">
        <f>IFERROR(_xlfn.XLOOKUP(data1[[#This Row],[Threat_Level]],validation!$A$14:$A$15,validation!$B$14:$B$15),"")</f>
        <v/>
      </c>
    </row>
    <row r="33" spans="1:9" x14ac:dyDescent="0.3">
      <c r="A33" s="19" t="str">
        <v>Radar</v>
      </c>
      <c r="B33" s="19">
        <v>3260</v>
      </c>
      <c r="C33" s="19">
        <v>6100</v>
      </c>
      <c r="D33" s="24">
        <f t="shared" si="0"/>
        <v>19886000</v>
      </c>
      <c r="E33" s="26">
        <v>878400</v>
      </c>
      <c r="F33" s="28">
        <v>139000</v>
      </c>
      <c r="G33" s="27">
        <f t="shared" si="1"/>
        <v>20903400</v>
      </c>
      <c r="H33" s="25">
        <v>89.635000000000005</v>
      </c>
      <c r="I33" s="30" t="str">
        <f>IFERROR(_xlfn.XLOOKUP(data1[[#This Row],[Threat_Level]],validation!$A$14:$A$15,validation!$B$14:$B$15),"")</f>
        <v/>
      </c>
    </row>
    <row r="34" spans="1:9" x14ac:dyDescent="0.3">
      <c r="A34" s="19" t="str">
        <v>Drone</v>
      </c>
      <c r="B34" s="19">
        <v>2220</v>
      </c>
      <c r="C34" s="19">
        <v>2500</v>
      </c>
      <c r="D34" s="24">
        <f t="shared" si="0"/>
        <v>5550000</v>
      </c>
      <c r="E34" s="26">
        <v>236250</v>
      </c>
      <c r="F34" s="28">
        <v>128000</v>
      </c>
      <c r="G34" s="27">
        <f t="shared" si="1"/>
        <v>5914250</v>
      </c>
      <c r="H34" s="25">
        <v>82.904000000000011</v>
      </c>
      <c r="I34" s="30">
        <f>IFERROR(_xlfn.XLOOKUP(data1[[#This Row],[Threat_Level]],validation!$A$14:$A$15,validation!$B$14:$B$15),"")</f>
        <v>1.3</v>
      </c>
    </row>
    <row r="35" spans="1:9" x14ac:dyDescent="0.3">
      <c r="A35" s="19" t="str">
        <v>UGV</v>
      </c>
      <c r="B35" s="19">
        <v>1710</v>
      </c>
      <c r="C35" s="19">
        <v>2100</v>
      </c>
      <c r="D35" s="24">
        <f t="shared" si="0"/>
        <v>3591000</v>
      </c>
      <c r="E35" s="26">
        <v>219555.00000000003</v>
      </c>
      <c r="F35" s="28">
        <v>89000</v>
      </c>
      <c r="G35" s="27">
        <f t="shared" si="1"/>
        <v>3899555</v>
      </c>
      <c r="H35" s="25">
        <v>90.896000000000001</v>
      </c>
      <c r="I35" s="30" t="str">
        <f>IFERROR(_xlfn.XLOOKUP(data1[[#This Row],[Threat_Level]],validation!$A$14:$A$15,validation!$B$14:$B$15),"")</f>
        <v/>
      </c>
    </row>
    <row r="36" spans="1:9" x14ac:dyDescent="0.3">
      <c r="A36" s="19" t="str">
        <v>Satellite</v>
      </c>
      <c r="B36" s="19">
        <v>4650</v>
      </c>
      <c r="C36" s="19">
        <v>8300</v>
      </c>
      <c r="D36" s="24">
        <f t="shared" si="0"/>
        <v>38595000</v>
      </c>
      <c r="E36" s="26">
        <v>1812720.0000000002</v>
      </c>
      <c r="F36" s="28">
        <v>158000</v>
      </c>
      <c r="G36" s="27">
        <f t="shared" si="1"/>
        <v>40565720</v>
      </c>
      <c r="H36" s="25">
        <v>94.524999999999991</v>
      </c>
      <c r="I36" s="30" t="str">
        <f>IFERROR(_xlfn.XLOOKUP(data1[[#This Row],[Threat_Level]],validation!$A$14:$A$15,validation!$B$14:$B$15),"")</f>
        <v/>
      </c>
    </row>
    <row r="37" spans="1:9" x14ac:dyDescent="0.3">
      <c r="A37" s="19" t="str">
        <v>Radar</v>
      </c>
      <c r="B37" s="19">
        <v>3380</v>
      </c>
      <c r="C37" s="19">
        <v>6350</v>
      </c>
      <c r="D37" s="24">
        <f t="shared" si="0"/>
        <v>21463000</v>
      </c>
      <c r="E37" s="26">
        <v>985520.00000000012</v>
      </c>
      <c r="F37" s="28">
        <v>143000</v>
      </c>
      <c r="G37" s="27">
        <f t="shared" si="1"/>
        <v>22591520</v>
      </c>
      <c r="H37" s="25">
        <v>86.86399999999999</v>
      </c>
      <c r="I37" s="30">
        <f>IFERROR(_xlfn.XLOOKUP(data1[[#This Row],[Threat_Level]],validation!$A$14:$A$15,validation!$B$14:$B$15),"")</f>
        <v>1.3</v>
      </c>
    </row>
    <row r="38" spans="1:9" x14ac:dyDescent="0.3">
      <c r="A38" s="19" t="str">
        <v>Drone</v>
      </c>
      <c r="B38" s="19">
        <v>1870</v>
      </c>
      <c r="C38" s="19">
        <v>2250</v>
      </c>
      <c r="D38" s="24">
        <f t="shared" si="0"/>
        <v>4207500</v>
      </c>
      <c r="E38" s="26">
        <v>176175</v>
      </c>
      <c r="F38" s="28">
        <v>91000</v>
      </c>
      <c r="G38" s="27">
        <f t="shared" si="1"/>
        <v>4474675</v>
      </c>
      <c r="H38" s="25">
        <v>91.977000000000004</v>
      </c>
      <c r="I38" s="30" t="str">
        <f>IFERROR(_xlfn.XLOOKUP(data1[[#This Row],[Threat_Level]],validation!$A$14:$A$15,validation!$B$14:$B$15),"")</f>
        <v/>
      </c>
    </row>
    <row r="39" spans="1:9" x14ac:dyDescent="0.3">
      <c r="A39" s="19" t="str">
        <v>UGV</v>
      </c>
      <c r="B39" s="19">
        <v>1790</v>
      </c>
      <c r="C39" s="19">
        <v>2050</v>
      </c>
      <c r="D39" s="24">
        <f t="shared" si="0"/>
        <v>3669500</v>
      </c>
      <c r="E39" s="26">
        <v>230010</v>
      </c>
      <c r="F39" s="28">
        <v>97000</v>
      </c>
      <c r="G39" s="27">
        <f t="shared" si="1"/>
        <v>3996510</v>
      </c>
      <c r="H39" s="25">
        <v>85.623999999999995</v>
      </c>
      <c r="I39" s="30" t="str">
        <f>IFERROR(_xlfn.XLOOKUP(data1[[#This Row],[Threat_Level]],validation!$A$14:$A$15,validation!$B$14:$B$15),"")</f>
        <v/>
      </c>
    </row>
    <row r="40" spans="1:9" x14ac:dyDescent="0.3">
      <c r="A40" s="19" t="str">
        <v>Satellite</v>
      </c>
      <c r="B40" s="19">
        <v>4870</v>
      </c>
      <c r="C40" s="19">
        <v>8450</v>
      </c>
      <c r="D40" s="24">
        <f t="shared" si="0"/>
        <v>41151500</v>
      </c>
      <c r="E40" s="26">
        <v>1940120.0000000002</v>
      </c>
      <c r="F40" s="28">
        <v>172000</v>
      </c>
      <c r="G40" s="27">
        <f t="shared" si="1"/>
        <v>43263620</v>
      </c>
      <c r="H40" s="25">
        <v>96.709000000000003</v>
      </c>
      <c r="I40" s="30" t="str">
        <f>IFERROR(_xlfn.XLOOKUP(data1[[#This Row],[Threat_Level]],validation!$A$14:$A$15,validation!$B$14:$B$15),"")</f>
        <v/>
      </c>
    </row>
    <row r="41" spans="1:9" x14ac:dyDescent="0.3">
      <c r="A41" s="19" t="str">
        <v>Radar</v>
      </c>
      <c r="B41" s="19">
        <v>3240</v>
      </c>
      <c r="C41" s="19">
        <v>6250</v>
      </c>
      <c r="D41" s="24">
        <f t="shared" si="0"/>
        <v>20250000</v>
      </c>
      <c r="E41" s="26">
        <v>925000</v>
      </c>
      <c r="F41" s="28">
        <v>140000</v>
      </c>
      <c r="G41" s="27">
        <f t="shared" si="1"/>
        <v>21315000</v>
      </c>
      <c r="H41" s="25">
        <v>88.38000000000001</v>
      </c>
      <c r="I41" s="30" t="str">
        <f>IFERROR(_xlfn.XLOOKUP(data1[[#This Row],[Threat_Level]],validation!$A$14:$A$15,validation!$B$14:$B$15),"")</f>
        <v/>
      </c>
    </row>
    <row r="42" spans="1:9" x14ac:dyDescent="0.3">
      <c r="A42" s="19" t="str">
        <v>Drone</v>
      </c>
      <c r="B42" s="19">
        <v>2250</v>
      </c>
      <c r="C42" s="19">
        <v>2600</v>
      </c>
      <c r="D42" s="24">
        <f t="shared" si="0"/>
        <v>5850000</v>
      </c>
      <c r="E42" s="26">
        <v>252720</v>
      </c>
      <c r="F42" s="28">
        <v>135000</v>
      </c>
      <c r="G42" s="27">
        <f t="shared" si="1"/>
        <v>6237720</v>
      </c>
      <c r="H42" s="25">
        <v>81.599999999999994</v>
      </c>
      <c r="I42" s="30">
        <f>IFERROR(_xlfn.XLOOKUP(data1[[#This Row],[Threat_Level]],validation!$A$14:$A$15,validation!$B$14:$B$15),"")</f>
        <v>1.3</v>
      </c>
    </row>
    <row r="43" spans="1:9" x14ac:dyDescent="0.3">
      <c r="A43" s="19" t="str">
        <v>UGV</v>
      </c>
      <c r="B43" s="19">
        <v>1690</v>
      </c>
      <c r="C43" s="19">
        <v>2200</v>
      </c>
      <c r="D43" s="24">
        <f t="shared" si="0"/>
        <v>3718000</v>
      </c>
      <c r="E43" s="26">
        <v>226270.00000000003</v>
      </c>
      <c r="F43" s="28">
        <v>87000</v>
      </c>
      <c r="G43" s="27">
        <f t="shared" si="1"/>
        <v>4031270</v>
      </c>
      <c r="H43" s="25">
        <v>89.817000000000007</v>
      </c>
      <c r="I43" s="30" t="str">
        <f>IFERROR(_xlfn.XLOOKUP(data1[[#This Row],[Threat_Level]],validation!$A$14:$A$15,validation!$B$14:$B$15),"")</f>
        <v/>
      </c>
    </row>
    <row r="44" spans="1:9" x14ac:dyDescent="0.3">
      <c r="A44" s="19" t="str">
        <v>Satellite</v>
      </c>
      <c r="B44" s="19">
        <v>4680</v>
      </c>
      <c r="C44" s="19">
        <v>8250</v>
      </c>
      <c r="D44" s="24">
        <f t="shared" si="0"/>
        <v>38610000</v>
      </c>
      <c r="E44" s="26">
        <v>1813350</v>
      </c>
      <c r="F44" s="28">
        <v>150000</v>
      </c>
      <c r="G44" s="27">
        <f t="shared" si="1"/>
        <v>40573350</v>
      </c>
      <c r="H44" s="25">
        <v>95.615999999999985</v>
      </c>
      <c r="I44" s="30" t="str">
        <f>IFERROR(_xlfn.XLOOKUP(data1[[#This Row],[Threat_Level]],validation!$A$14:$A$15,validation!$B$14:$B$15),"")</f>
        <v/>
      </c>
    </row>
    <row r="45" spans="1:9" x14ac:dyDescent="0.3">
      <c r="A45" s="19" t="str">
        <v>Radar</v>
      </c>
      <c r="B45" s="19">
        <v>3300</v>
      </c>
      <c r="C45" s="19">
        <v>6150</v>
      </c>
      <c r="D45" s="24">
        <f t="shared" si="0"/>
        <v>20295000</v>
      </c>
      <c r="E45" s="26">
        <v>920040</v>
      </c>
      <c r="F45" s="28">
        <v>137000</v>
      </c>
      <c r="G45" s="27">
        <f t="shared" si="1"/>
        <v>21352040</v>
      </c>
      <c r="H45" s="25">
        <v>85.975999999999999</v>
      </c>
      <c r="I45" s="30">
        <f>IFERROR(_xlfn.XLOOKUP(data1[[#This Row],[Threat_Level]],validation!$A$14:$A$15,validation!$B$14:$B$15),"")</f>
        <v>1.3</v>
      </c>
    </row>
    <row r="46" spans="1:9" x14ac:dyDescent="0.3">
      <c r="A46" s="19" t="str">
        <v>Drone</v>
      </c>
      <c r="B46" s="19">
        <v>1830</v>
      </c>
      <c r="C46" s="19">
        <v>2280</v>
      </c>
      <c r="D46" s="24">
        <f t="shared" si="0"/>
        <v>4172400</v>
      </c>
      <c r="E46" s="26">
        <v>174420</v>
      </c>
      <c r="F46" s="28">
        <v>89000</v>
      </c>
      <c r="G46" s="27">
        <f t="shared" si="1"/>
        <v>4435820</v>
      </c>
      <c r="H46" s="25">
        <v>93.341999999999999</v>
      </c>
      <c r="I46" s="30" t="str">
        <f>IFERROR(_xlfn.XLOOKUP(data1[[#This Row],[Threat_Level]],validation!$A$14:$A$15,validation!$B$14:$B$15),"")</f>
        <v/>
      </c>
    </row>
    <row r="47" spans="1:9" x14ac:dyDescent="0.3">
      <c r="A47" s="19" t="str">
        <v>UGV</v>
      </c>
      <c r="B47" s="19">
        <v>1880</v>
      </c>
      <c r="C47" s="19">
        <v>2700</v>
      </c>
      <c r="D47" s="24">
        <f t="shared" si="0"/>
        <v>5076000</v>
      </c>
      <c r="E47" s="26">
        <v>345060</v>
      </c>
      <c r="F47" s="28">
        <v>142000</v>
      </c>
      <c r="G47" s="27">
        <f t="shared" si="1"/>
        <v>5563060</v>
      </c>
      <c r="H47" s="25">
        <v>80.22</v>
      </c>
      <c r="I47" s="30">
        <f>IFERROR(_xlfn.XLOOKUP(data1[[#This Row],[Threat_Level]],validation!$A$14:$A$15,validation!$B$14:$B$15),"")</f>
        <v>1.3</v>
      </c>
    </row>
    <row r="48" spans="1:9" x14ac:dyDescent="0.3">
      <c r="A48" s="19" t="str">
        <v>Satellite</v>
      </c>
      <c r="B48" s="19">
        <v>4930</v>
      </c>
      <c r="C48" s="19">
        <v>8400</v>
      </c>
      <c r="D48" s="24">
        <f t="shared" si="0"/>
        <v>41412000</v>
      </c>
      <c r="E48" s="26">
        <v>1952160.0000000002</v>
      </c>
      <c r="F48" s="28">
        <v>165000</v>
      </c>
      <c r="G48" s="27">
        <f t="shared" si="1"/>
        <v>43529160</v>
      </c>
      <c r="H48" s="25">
        <v>96.805999999999997</v>
      </c>
      <c r="I48" s="30" t="str">
        <f>IFERROR(_xlfn.XLOOKUP(data1[[#This Row],[Threat_Level]],validation!$A$14:$A$15,validation!$B$14:$B$15),"")</f>
        <v/>
      </c>
    </row>
    <row r="49" spans="1:9" x14ac:dyDescent="0.3">
      <c r="A49" s="19" t="str">
        <v>Radar</v>
      </c>
      <c r="B49" s="19">
        <v>3270</v>
      </c>
      <c r="C49" s="19">
        <v>6050</v>
      </c>
      <c r="D49" s="24">
        <f t="shared" si="0"/>
        <v>19783500</v>
      </c>
      <c r="E49" s="26">
        <v>885720</v>
      </c>
      <c r="F49" s="28">
        <v>132000</v>
      </c>
      <c r="G49" s="27">
        <f t="shared" si="1"/>
        <v>20801220</v>
      </c>
      <c r="H49" s="25">
        <v>90.712000000000003</v>
      </c>
      <c r="I49" s="30" t="str">
        <f>IFERROR(_xlfn.XLOOKUP(data1[[#This Row],[Threat_Level]],validation!$A$14:$A$15,validation!$B$14:$B$15),"")</f>
        <v/>
      </c>
    </row>
    <row r="50" spans="1:9" x14ac:dyDescent="0.3">
      <c r="A50" s="19" t="str">
        <v>Drone</v>
      </c>
      <c r="B50" s="19">
        <v>2160</v>
      </c>
      <c r="C50" s="19">
        <v>2450</v>
      </c>
      <c r="D50" s="24">
        <f t="shared" si="0"/>
        <v>5292000</v>
      </c>
      <c r="E50" s="26">
        <v>227115</v>
      </c>
      <c r="F50" s="28">
        <v>125000</v>
      </c>
      <c r="G50" s="27">
        <f t="shared" si="1"/>
        <v>5644115</v>
      </c>
      <c r="H50" s="25">
        <v>85.183999999999997</v>
      </c>
      <c r="I50" s="30">
        <f>IFERROR(_xlfn.XLOOKUP(data1[[#This Row],[Threat_Level]],validation!$A$14:$A$15,validation!$B$14:$B$15),"")</f>
        <v>1.3</v>
      </c>
    </row>
    <row r="51" spans="1:9" x14ac:dyDescent="0.3">
      <c r="A51" s="19" t="str">
        <v>UGV</v>
      </c>
      <c r="B51" s="19">
        <v>1750</v>
      </c>
      <c r="C51" s="19">
        <v>2150</v>
      </c>
      <c r="D51" s="24">
        <f t="shared" si="0"/>
        <v>3762500</v>
      </c>
      <c r="E51" s="26">
        <v>228437.50000000003</v>
      </c>
      <c r="F51" s="28">
        <v>86000</v>
      </c>
      <c r="G51" s="27">
        <f t="shared" si="1"/>
        <v>4076937.5</v>
      </c>
      <c r="H51" s="25">
        <v>92.162999999999997</v>
      </c>
      <c r="I51" s="30" t="str">
        <f>IFERROR(_xlfn.XLOOKUP(data1[[#This Row],[Threat_Level]],validation!$A$14:$A$15,validation!$B$14:$B$15),"")</f>
        <v/>
      </c>
    </row>
    <row r="52" spans="1:9" x14ac:dyDescent="0.3">
      <c r="A52" s="19" t="str">
        <v>Satellite</v>
      </c>
      <c r="B52" s="19">
        <v>4580</v>
      </c>
      <c r="C52" s="19">
        <v>8100</v>
      </c>
      <c r="D52" s="24">
        <f t="shared" si="0"/>
        <v>37098000</v>
      </c>
      <c r="E52" s="26">
        <v>1735020.0000000002</v>
      </c>
      <c r="F52" s="28">
        <v>152000</v>
      </c>
      <c r="G52" s="27">
        <f t="shared" si="1"/>
        <v>38985020</v>
      </c>
      <c r="H52" s="25">
        <v>94.524999999999991</v>
      </c>
      <c r="I52" s="30" t="str">
        <f>IFERROR(_xlfn.XLOOKUP(data1[[#This Row],[Threat_Level]],validation!$A$14:$A$15,validation!$B$14:$B$15),"")</f>
        <v/>
      </c>
    </row>
    <row r="53" spans="1:9" x14ac:dyDescent="0.3">
      <c r="A53" s="19" t="str">
        <v>Radar</v>
      </c>
      <c r="B53" s="19">
        <v>3320</v>
      </c>
      <c r="C53" s="19">
        <v>6200</v>
      </c>
      <c r="D53" s="24">
        <f t="shared" si="0"/>
        <v>20584000</v>
      </c>
      <c r="E53" s="26">
        <v>942400</v>
      </c>
      <c r="F53" s="28">
        <v>136000</v>
      </c>
      <c r="G53" s="27">
        <f t="shared" si="1"/>
        <v>21662400</v>
      </c>
      <c r="H53" s="25">
        <v>88.110000000000014</v>
      </c>
      <c r="I53" s="30">
        <f>IFERROR(_xlfn.XLOOKUP(data1[[#This Row],[Threat_Level]],validation!$A$14:$A$15,validation!$B$14:$B$15),"")</f>
        <v>1.3</v>
      </c>
    </row>
    <row r="54" spans="1:9" x14ac:dyDescent="0.3">
      <c r="A54" s="19" t="str">
        <v>Drone</v>
      </c>
      <c r="B54" s="19">
        <v>1850</v>
      </c>
      <c r="C54" s="19">
        <v>2300</v>
      </c>
      <c r="D54" s="24">
        <f t="shared" si="0"/>
        <v>4255000</v>
      </c>
      <c r="E54" s="26">
        <v>184230</v>
      </c>
      <c r="F54" s="28">
        <v>87000</v>
      </c>
      <c r="G54" s="27">
        <f t="shared" si="1"/>
        <v>4526230</v>
      </c>
      <c r="H54" s="25">
        <v>92.871999999999986</v>
      </c>
      <c r="I54" s="30" t="str">
        <f>IFERROR(_xlfn.XLOOKUP(data1[[#This Row],[Threat_Level]],validation!$A$14:$A$15,validation!$B$14:$B$15),"")</f>
        <v/>
      </c>
    </row>
    <row r="55" spans="1:9" x14ac:dyDescent="0.3">
      <c r="A55" s="19" t="str">
        <v>UGV</v>
      </c>
      <c r="B55" s="19">
        <v>1780</v>
      </c>
      <c r="C55" s="19">
        <v>2050</v>
      </c>
      <c r="D55" s="24">
        <f t="shared" si="0"/>
        <v>3649000</v>
      </c>
      <c r="E55" s="26">
        <v>233495</v>
      </c>
      <c r="F55" s="28">
        <v>94000</v>
      </c>
      <c r="G55" s="27">
        <f t="shared" si="1"/>
        <v>3976495</v>
      </c>
      <c r="H55" s="25">
        <v>84.39</v>
      </c>
      <c r="I55" s="30" t="str">
        <f>IFERROR(_xlfn.XLOOKUP(data1[[#This Row],[Threat_Level]],validation!$A$14:$A$15,validation!$B$14:$B$15),"")</f>
        <v/>
      </c>
    </row>
    <row r="56" spans="1:9" x14ac:dyDescent="0.3">
      <c r="A56" s="19" t="str">
        <v>Satellite</v>
      </c>
      <c r="B56" s="19">
        <v>4820</v>
      </c>
      <c r="C56" s="19">
        <v>8350</v>
      </c>
      <c r="D56" s="24">
        <f t="shared" si="0"/>
        <v>40247000</v>
      </c>
      <c r="E56" s="26">
        <v>1882090.0000000002</v>
      </c>
      <c r="F56" s="28">
        <v>168000</v>
      </c>
      <c r="G56" s="27">
        <f t="shared" si="1"/>
        <v>42297090</v>
      </c>
      <c r="H56" s="25">
        <v>97.902000000000001</v>
      </c>
      <c r="I56" s="30" t="str">
        <f>IFERROR(_xlfn.XLOOKUP(data1[[#This Row],[Threat_Level]],validation!$A$14:$A$15,validation!$B$14:$B$15),"")</f>
        <v/>
      </c>
    </row>
    <row r="57" spans="1:9" x14ac:dyDescent="0.3">
      <c r="A57" s="19" t="str">
        <v>Radar</v>
      </c>
      <c r="B57" s="19">
        <v>3360</v>
      </c>
      <c r="C57" s="19">
        <v>6300</v>
      </c>
      <c r="D57" s="24">
        <f t="shared" si="0"/>
        <v>21168000</v>
      </c>
      <c r="E57" s="26">
        <v>967680</v>
      </c>
      <c r="F57" s="28">
        <v>142000</v>
      </c>
      <c r="G57" s="27">
        <f t="shared" si="1"/>
        <v>22277680</v>
      </c>
      <c r="H57" s="25">
        <v>86.86399999999999</v>
      </c>
      <c r="I57" s="30">
        <f>IFERROR(_xlfn.XLOOKUP(data1[[#This Row],[Threat_Level]],validation!$A$14:$A$15,validation!$B$14:$B$15),"")</f>
        <v>1.3</v>
      </c>
    </row>
    <row r="58" spans="1:9" x14ac:dyDescent="0.3">
      <c r="A58" s="19" t="str">
        <v>Drone</v>
      </c>
      <c r="B58" s="19">
        <v>2190</v>
      </c>
      <c r="C58" s="19">
        <v>2500</v>
      </c>
      <c r="D58" s="24">
        <f t="shared" si="0"/>
        <v>5475000</v>
      </c>
      <c r="E58" s="26">
        <v>240750</v>
      </c>
      <c r="F58" s="28">
        <v>128000</v>
      </c>
      <c r="G58" s="27">
        <f t="shared" si="1"/>
        <v>5843750</v>
      </c>
      <c r="H58" s="25">
        <v>82.817999999999998</v>
      </c>
      <c r="I58" s="30">
        <f>IFERROR(_xlfn.XLOOKUP(data1[[#This Row],[Threat_Level]],validation!$A$14:$A$15,validation!$B$14:$B$15),"")</f>
        <v>1.3</v>
      </c>
    </row>
    <row r="59" spans="1:9" x14ac:dyDescent="0.3">
      <c r="A59" s="19" t="str">
        <v>UGV</v>
      </c>
      <c r="B59" s="19">
        <v>1720</v>
      </c>
      <c r="C59" s="19">
        <v>2150</v>
      </c>
      <c r="D59" s="24">
        <f t="shared" si="0"/>
        <v>3698000</v>
      </c>
      <c r="E59" s="26">
        <v>222955</v>
      </c>
      <c r="F59" s="28">
        <v>88000</v>
      </c>
      <c r="G59" s="27">
        <f t="shared" si="1"/>
        <v>4008955</v>
      </c>
      <c r="H59" s="25">
        <v>91.08</v>
      </c>
      <c r="I59" s="30" t="str">
        <f>IFERROR(_xlfn.XLOOKUP(data1[[#This Row],[Threat_Level]],validation!$A$14:$A$15,validation!$B$14:$B$15),"")</f>
        <v/>
      </c>
    </row>
    <row r="60" spans="1:9" x14ac:dyDescent="0.3">
      <c r="A60" s="19" t="str">
        <v>Satellite</v>
      </c>
      <c r="B60" s="19">
        <v>4620</v>
      </c>
      <c r="C60" s="19">
        <v>8200</v>
      </c>
      <c r="D60" s="24">
        <f t="shared" si="0"/>
        <v>37884000</v>
      </c>
      <c r="E60" s="26">
        <v>1779400.0000000002</v>
      </c>
      <c r="F60" s="28">
        <v>153000</v>
      </c>
      <c r="G60" s="27">
        <f t="shared" si="1"/>
        <v>39816400</v>
      </c>
      <c r="H60" s="25">
        <v>95.615999999999985</v>
      </c>
      <c r="I60" s="30" t="str">
        <f>IFERROR(_xlfn.XLOOKUP(data1[[#This Row],[Threat_Level]],validation!$A$14:$A$15,validation!$B$14:$B$15),"")</f>
        <v/>
      </c>
    </row>
    <row r="61" spans="1:9" x14ac:dyDescent="0.3">
      <c r="A61" s="19" t="str">
        <v>Radar</v>
      </c>
      <c r="B61" s="19">
        <v>3210</v>
      </c>
      <c r="C61" s="19">
        <v>6100</v>
      </c>
      <c r="D61" s="24">
        <f t="shared" si="0"/>
        <v>19581000</v>
      </c>
      <c r="E61" s="26">
        <v>888160</v>
      </c>
      <c r="F61" s="28">
        <v>138000</v>
      </c>
      <c r="G61" s="27">
        <f t="shared" si="1"/>
        <v>20607160</v>
      </c>
      <c r="H61" s="25">
        <v>89.453000000000003</v>
      </c>
      <c r="I61" s="30" t="str">
        <f>IFERROR(_xlfn.XLOOKUP(data1[[#This Row],[Threat_Level]],validation!$A$14:$A$15,validation!$B$14:$B$15),"")</f>
        <v/>
      </c>
    </row>
    <row r="62" spans="1:9" x14ac:dyDescent="0.3">
      <c r="A62" s="19" t="str">
        <v>Drone</v>
      </c>
      <c r="B62" s="19">
        <v>1890</v>
      </c>
      <c r="C62" s="19">
        <v>2290</v>
      </c>
      <c r="D62" s="24">
        <f t="shared" si="0"/>
        <v>4328100</v>
      </c>
      <c r="E62" s="26">
        <v>177245.99999999997</v>
      </c>
      <c r="F62" s="28">
        <v>90000</v>
      </c>
      <c r="G62" s="27">
        <f t="shared" si="1"/>
        <v>4595346</v>
      </c>
      <c r="H62" s="25">
        <v>90.988000000000014</v>
      </c>
      <c r="I62" s="30">
        <f>IFERROR(_xlfn.XLOOKUP(data1[[#This Row],[Threat_Level]],validation!$A$14:$A$15,validation!$B$14:$B$15),"")</f>
        <v>1.3</v>
      </c>
    </row>
    <row r="63" spans="1:9" x14ac:dyDescent="0.3">
      <c r="A63" s="19" t="str">
        <v>UGV</v>
      </c>
      <c r="B63" s="19">
        <v>1810</v>
      </c>
      <c r="C63" s="19">
        <v>2650</v>
      </c>
      <c r="D63" s="24">
        <f t="shared" si="0"/>
        <v>4796500</v>
      </c>
      <c r="E63" s="26">
        <v>326745</v>
      </c>
      <c r="F63" s="28">
        <v>139000</v>
      </c>
      <c r="G63" s="27">
        <f t="shared" si="1"/>
        <v>5262245</v>
      </c>
      <c r="H63" s="25">
        <v>81.684999999999988</v>
      </c>
      <c r="I63" s="30">
        <f>IFERROR(_xlfn.XLOOKUP(data1[[#This Row],[Threat_Level]],validation!$A$14:$A$15,validation!$B$14:$B$15),"")</f>
        <v>1.3</v>
      </c>
    </row>
    <row r="64" spans="1:9" x14ac:dyDescent="0.3">
      <c r="A64" s="19" t="str">
        <v>Satellite</v>
      </c>
      <c r="B64" s="19">
        <v>4890</v>
      </c>
      <c r="C64" s="19">
        <v>8450</v>
      </c>
      <c r="D64" s="24">
        <f t="shared" si="0"/>
        <v>41320500</v>
      </c>
      <c r="E64" s="26">
        <v>1928290.0000000002</v>
      </c>
      <c r="F64" s="28">
        <v>170000</v>
      </c>
      <c r="G64" s="27">
        <f t="shared" si="1"/>
        <v>43418790</v>
      </c>
      <c r="H64" s="25">
        <v>96.709000000000003</v>
      </c>
      <c r="I64" s="30" t="str">
        <f>IFERROR(_xlfn.XLOOKUP(data1[[#This Row],[Threat_Level]],validation!$A$14:$A$15,validation!$B$14:$B$15),"")</f>
        <v/>
      </c>
    </row>
    <row r="65" spans="1:9" x14ac:dyDescent="0.3">
      <c r="A65" s="19" t="str">
        <v>Radar</v>
      </c>
      <c r="B65" s="19">
        <v>3290</v>
      </c>
      <c r="C65" s="19">
        <v>6200</v>
      </c>
      <c r="D65" s="24">
        <f t="shared" si="0"/>
        <v>20398000</v>
      </c>
      <c r="E65" s="26">
        <v>932480</v>
      </c>
      <c r="F65" s="28">
        <v>135000</v>
      </c>
      <c r="G65" s="27">
        <f t="shared" si="1"/>
        <v>21465480</v>
      </c>
      <c r="H65" s="25">
        <v>88.2</v>
      </c>
      <c r="I65" s="30">
        <f>IFERROR(_xlfn.XLOOKUP(data1[[#This Row],[Threat_Level]],validation!$A$14:$A$15,validation!$B$14:$B$15),"")</f>
        <v>1.3</v>
      </c>
    </row>
    <row r="66" spans="1:9" x14ac:dyDescent="0.3">
      <c r="A66" s="19" t="str">
        <v>Drone</v>
      </c>
      <c r="B66" s="19">
        <v>2230</v>
      </c>
      <c r="C66" s="19">
        <v>2550</v>
      </c>
      <c r="D66" s="24">
        <f t="shared" si="0"/>
        <v>5686500</v>
      </c>
      <c r="E66" s="26">
        <v>238680</v>
      </c>
      <c r="F66" s="28">
        <v>127000</v>
      </c>
      <c r="G66" s="27">
        <f t="shared" si="1"/>
        <v>6052180</v>
      </c>
      <c r="H66" s="25">
        <v>83.954999999999998</v>
      </c>
      <c r="I66" s="30">
        <f>IFERROR(_xlfn.XLOOKUP(data1[[#This Row],[Threat_Level]],validation!$A$14:$A$15,validation!$B$14:$B$15),"")</f>
        <v>1.3</v>
      </c>
    </row>
    <row r="67" spans="1:9" x14ac:dyDescent="0.3">
      <c r="A67" s="19" t="str">
        <v>UGV</v>
      </c>
      <c r="B67" s="19">
        <v>1730</v>
      </c>
      <c r="C67" s="19">
        <v>2250</v>
      </c>
      <c r="D67" s="24">
        <f t="shared" ref="D67:D101" si="2">B67*C67</f>
        <v>3892500</v>
      </c>
      <c r="E67" s="26">
        <v>239062.50000000003</v>
      </c>
      <c r="F67" s="28">
        <v>87000</v>
      </c>
      <c r="G67" s="27">
        <f t="shared" ref="G67:G101" si="3">SUM($D67,$E67,$F67)</f>
        <v>4218562.5</v>
      </c>
      <c r="H67" s="25">
        <v>91.977000000000004</v>
      </c>
      <c r="I67" s="30" t="str">
        <f>IFERROR(_xlfn.XLOOKUP(data1[[#This Row],[Threat_Level]],validation!$A$14:$A$15,validation!$B$14:$B$15),"")</f>
        <v/>
      </c>
    </row>
    <row r="68" spans="1:9" x14ac:dyDescent="0.3">
      <c r="A68" s="19" t="str">
        <v>Satellite</v>
      </c>
      <c r="B68" s="19">
        <v>4600</v>
      </c>
      <c r="C68" s="19">
        <v>8150</v>
      </c>
      <c r="D68" s="24">
        <f t="shared" si="2"/>
        <v>37490000</v>
      </c>
      <c r="E68" s="26">
        <v>1757140.0000000002</v>
      </c>
      <c r="F68" s="28">
        <v>150000</v>
      </c>
      <c r="G68" s="27">
        <f t="shared" si="3"/>
        <v>39397140</v>
      </c>
      <c r="H68" s="25">
        <v>94.524999999999991</v>
      </c>
      <c r="I68" s="30" t="str">
        <f>IFERROR(_xlfn.XLOOKUP(data1[[#This Row],[Threat_Level]],validation!$A$14:$A$15,validation!$B$14:$B$15),"")</f>
        <v/>
      </c>
    </row>
    <row r="69" spans="1:9" x14ac:dyDescent="0.3">
      <c r="A69" s="19" t="str">
        <v>Radar</v>
      </c>
      <c r="B69" s="19">
        <v>3330</v>
      </c>
      <c r="C69" s="19">
        <v>6150</v>
      </c>
      <c r="D69" s="24">
        <f t="shared" si="2"/>
        <v>20479500</v>
      </c>
      <c r="E69" s="26">
        <v>934800</v>
      </c>
      <c r="F69" s="28">
        <v>137000</v>
      </c>
      <c r="G69" s="27">
        <f t="shared" si="3"/>
        <v>21551300</v>
      </c>
      <c r="H69" s="25">
        <v>86.063999999999993</v>
      </c>
      <c r="I69" s="30">
        <f>IFERROR(_xlfn.XLOOKUP(data1[[#This Row],[Threat_Level]],validation!$A$14:$A$15,validation!$B$14:$B$15),"")</f>
        <v>1.3</v>
      </c>
    </row>
    <row r="70" spans="1:9" x14ac:dyDescent="0.3">
      <c r="A70" s="19" t="str">
        <v>Drone</v>
      </c>
      <c r="B70" s="19">
        <v>1820</v>
      </c>
      <c r="C70" s="19">
        <v>2300</v>
      </c>
      <c r="D70" s="24">
        <f t="shared" si="2"/>
        <v>4186000</v>
      </c>
      <c r="E70" s="26">
        <v>173880</v>
      </c>
      <c r="F70" s="28">
        <v>88000</v>
      </c>
      <c r="G70" s="27">
        <f t="shared" si="3"/>
        <v>4447880</v>
      </c>
      <c r="H70" s="25">
        <v>92.256000000000014</v>
      </c>
      <c r="I70" s="30" t="str">
        <f>IFERROR(_xlfn.XLOOKUP(data1[[#This Row],[Threat_Level]],validation!$A$14:$A$15,validation!$B$14:$B$15),"")</f>
        <v/>
      </c>
    </row>
    <row r="71" spans="1:9" x14ac:dyDescent="0.3">
      <c r="A71" s="19" t="str">
        <v>UGV</v>
      </c>
      <c r="B71" s="19">
        <v>1770</v>
      </c>
      <c r="C71" s="19">
        <v>2450</v>
      </c>
      <c r="D71" s="24">
        <f t="shared" si="2"/>
        <v>4336500</v>
      </c>
      <c r="E71" s="26">
        <v>281137.50000000006</v>
      </c>
      <c r="F71" s="28">
        <v>132000</v>
      </c>
      <c r="G71" s="27">
        <f t="shared" si="3"/>
        <v>4749637.5</v>
      </c>
      <c r="H71" s="25">
        <v>83.591999999999999</v>
      </c>
      <c r="I71" s="30" t="str">
        <f>IFERROR(_xlfn.XLOOKUP(data1[[#This Row],[Threat_Level]],validation!$A$14:$A$15,validation!$B$14:$B$15),"")</f>
        <v/>
      </c>
    </row>
    <row r="72" spans="1:9" x14ac:dyDescent="0.3">
      <c r="A72" s="19" t="str">
        <v>Satellite</v>
      </c>
      <c r="B72" s="19">
        <v>4850</v>
      </c>
      <c r="C72" s="19">
        <v>8300</v>
      </c>
      <c r="D72" s="24">
        <f t="shared" si="2"/>
        <v>40255000</v>
      </c>
      <c r="E72" s="26">
        <v>1905680.0000000002</v>
      </c>
      <c r="F72" s="28">
        <v>165000</v>
      </c>
      <c r="G72" s="27">
        <f t="shared" si="3"/>
        <v>42325680</v>
      </c>
      <c r="H72" s="25">
        <v>97.804000000000002</v>
      </c>
      <c r="I72" s="30" t="str">
        <f>IFERROR(_xlfn.XLOOKUP(data1[[#This Row],[Threat_Level]],validation!$A$14:$A$15,validation!$B$14:$B$15),"")</f>
        <v/>
      </c>
    </row>
    <row r="73" spans="1:9" x14ac:dyDescent="0.3">
      <c r="A73" s="19" t="str">
        <v>Radar</v>
      </c>
      <c r="B73" s="19">
        <v>3240</v>
      </c>
      <c r="C73" s="19">
        <v>6150</v>
      </c>
      <c r="D73" s="24">
        <f t="shared" si="2"/>
        <v>19926000</v>
      </c>
      <c r="E73" s="26">
        <v>905280.00000000012</v>
      </c>
      <c r="F73" s="28">
        <v>136000</v>
      </c>
      <c r="G73" s="27">
        <f t="shared" si="3"/>
        <v>20967280</v>
      </c>
      <c r="H73" s="25">
        <v>89.544000000000011</v>
      </c>
      <c r="I73" s="30" t="str">
        <f>IFERROR(_xlfn.XLOOKUP(data1[[#This Row],[Threat_Level]],validation!$A$14:$A$15,validation!$B$14:$B$15),"")</f>
        <v/>
      </c>
    </row>
    <row r="74" spans="1:9" x14ac:dyDescent="0.3">
      <c r="A74" s="19" t="str">
        <v>Drone</v>
      </c>
      <c r="B74" s="19">
        <v>2170</v>
      </c>
      <c r="C74" s="19">
        <v>2480</v>
      </c>
      <c r="D74" s="24">
        <f t="shared" si="2"/>
        <v>5381600</v>
      </c>
      <c r="E74" s="26">
        <v>236591.99999999997</v>
      </c>
      <c r="F74" s="28">
        <v>125000</v>
      </c>
      <c r="G74" s="27">
        <f t="shared" si="3"/>
        <v>5743192</v>
      </c>
      <c r="H74" s="25">
        <v>84.129000000000005</v>
      </c>
      <c r="I74" s="30">
        <f>IFERROR(_xlfn.XLOOKUP(data1[[#This Row],[Threat_Level]],validation!$A$14:$A$15,validation!$B$14:$B$15),"")</f>
        <v>1.3</v>
      </c>
    </row>
    <row r="75" spans="1:9" x14ac:dyDescent="0.3">
      <c r="A75" s="19" t="str">
        <v>UGV</v>
      </c>
      <c r="B75" s="19">
        <v>1700</v>
      </c>
      <c r="C75" s="19">
        <v>2120</v>
      </c>
      <c r="D75" s="24">
        <f t="shared" si="2"/>
        <v>3604000</v>
      </c>
      <c r="E75" s="26">
        <v>219844</v>
      </c>
      <c r="F75" s="28">
        <v>87000</v>
      </c>
      <c r="G75" s="27">
        <f t="shared" si="3"/>
        <v>3910844</v>
      </c>
      <c r="H75" s="25">
        <v>90.896000000000001</v>
      </c>
      <c r="I75" s="30" t="str">
        <f>IFERROR(_xlfn.XLOOKUP(data1[[#This Row],[Threat_Level]],validation!$A$14:$A$15,validation!$B$14:$B$15),"")</f>
        <v/>
      </c>
    </row>
    <row r="76" spans="1:9" x14ac:dyDescent="0.3">
      <c r="A76" s="19" t="str">
        <v>Satellite</v>
      </c>
      <c r="B76" s="19">
        <v>4660</v>
      </c>
      <c r="C76" s="19">
        <v>8250</v>
      </c>
      <c r="D76" s="24">
        <f t="shared" si="2"/>
        <v>38445000</v>
      </c>
      <c r="E76" s="26">
        <v>1801800.0000000002</v>
      </c>
      <c r="F76" s="28">
        <v>155000</v>
      </c>
      <c r="G76" s="27">
        <f t="shared" si="3"/>
        <v>40401800</v>
      </c>
      <c r="H76" s="25">
        <v>94.524999999999991</v>
      </c>
      <c r="I76" s="30" t="str">
        <f>IFERROR(_xlfn.XLOOKUP(data1[[#This Row],[Threat_Level]],validation!$A$14:$A$15,validation!$B$14:$B$15),"")</f>
        <v/>
      </c>
    </row>
    <row r="77" spans="1:9" x14ac:dyDescent="0.3">
      <c r="A77" s="19" t="str">
        <v>Radar</v>
      </c>
      <c r="B77" s="19">
        <v>3310</v>
      </c>
      <c r="C77" s="19">
        <v>6100</v>
      </c>
      <c r="D77" s="24">
        <f t="shared" si="2"/>
        <v>20191000</v>
      </c>
      <c r="E77" s="26">
        <v>912560</v>
      </c>
      <c r="F77" s="28">
        <v>135000</v>
      </c>
      <c r="G77" s="27">
        <f t="shared" si="3"/>
        <v>21238560</v>
      </c>
      <c r="H77" s="25">
        <v>87.131</v>
      </c>
      <c r="I77" s="30">
        <f>IFERROR(_xlfn.XLOOKUP(data1[[#This Row],[Threat_Level]],validation!$A$14:$A$15,validation!$B$14:$B$15),"")</f>
        <v>1.3</v>
      </c>
    </row>
    <row r="78" spans="1:9" x14ac:dyDescent="0.3">
      <c r="A78" s="19" t="str">
        <v>Drone</v>
      </c>
      <c r="B78" s="19">
        <v>1870</v>
      </c>
      <c r="C78" s="19">
        <v>2300</v>
      </c>
      <c r="D78" s="24">
        <f t="shared" si="2"/>
        <v>4301000</v>
      </c>
      <c r="E78" s="26">
        <v>182160</v>
      </c>
      <c r="F78" s="28">
        <v>89000</v>
      </c>
      <c r="G78" s="27">
        <f t="shared" si="3"/>
        <v>4572160</v>
      </c>
      <c r="H78" s="25">
        <v>92.965999999999994</v>
      </c>
      <c r="I78" s="30" t="str">
        <f>IFERROR(_xlfn.XLOOKUP(data1[[#This Row],[Threat_Level]],validation!$A$14:$A$15,validation!$B$14:$B$15),"")</f>
        <v/>
      </c>
    </row>
    <row r="79" spans="1:9" x14ac:dyDescent="0.3">
      <c r="A79" s="19" t="str">
        <v>UGV</v>
      </c>
      <c r="B79" s="19">
        <v>1790</v>
      </c>
      <c r="C79" s="19">
        <v>2000</v>
      </c>
      <c r="D79" s="24">
        <f t="shared" si="2"/>
        <v>3580000</v>
      </c>
      <c r="E79" s="26">
        <v>234600.00000000003</v>
      </c>
      <c r="F79" s="28">
        <v>94000</v>
      </c>
      <c r="G79" s="27">
        <f t="shared" si="3"/>
        <v>3908600</v>
      </c>
      <c r="H79" s="25">
        <v>82.28</v>
      </c>
      <c r="I79" s="30" t="str">
        <f>IFERROR(_xlfn.XLOOKUP(data1[[#This Row],[Threat_Level]],validation!$A$14:$A$15,validation!$B$14:$B$15),"")</f>
        <v/>
      </c>
    </row>
    <row r="80" spans="1:9" x14ac:dyDescent="0.3">
      <c r="A80" s="19" t="str">
        <v>Satellite</v>
      </c>
      <c r="B80" s="19">
        <v>4920</v>
      </c>
      <c r="C80" s="19">
        <v>8450</v>
      </c>
      <c r="D80" s="24">
        <f t="shared" si="2"/>
        <v>41574000</v>
      </c>
      <c r="E80" s="26">
        <v>1951950.0000000002</v>
      </c>
      <c r="F80" s="28">
        <v>170000</v>
      </c>
      <c r="G80" s="27">
        <f t="shared" si="3"/>
        <v>43695950</v>
      </c>
      <c r="H80" s="25">
        <v>96.805999999999997</v>
      </c>
      <c r="I80" s="30" t="str">
        <f>IFERROR(_xlfn.XLOOKUP(data1[[#This Row],[Threat_Level]],validation!$A$14:$A$15,validation!$B$14:$B$15),"")</f>
        <v/>
      </c>
    </row>
    <row r="81" spans="1:9" x14ac:dyDescent="0.3">
      <c r="A81" s="19" t="str">
        <v>Radar</v>
      </c>
      <c r="B81" s="19">
        <v>3260</v>
      </c>
      <c r="C81" s="19">
        <v>6250</v>
      </c>
      <c r="D81" s="24">
        <f t="shared" si="2"/>
        <v>20375000</v>
      </c>
      <c r="E81" s="26">
        <v>915000</v>
      </c>
      <c r="F81" s="28">
        <v>138000</v>
      </c>
      <c r="G81" s="27">
        <f t="shared" si="3"/>
        <v>21428000</v>
      </c>
      <c r="H81" s="25">
        <v>88.38000000000001</v>
      </c>
      <c r="I81" s="30">
        <f>IFERROR(_xlfn.XLOOKUP(data1[[#This Row],[Threat_Level]],validation!$A$14:$A$15,validation!$B$14:$B$15),"")</f>
        <v>1.3</v>
      </c>
    </row>
    <row r="82" spans="1:9" x14ac:dyDescent="0.3">
      <c r="A82" s="19" t="str">
        <v>Drone</v>
      </c>
      <c r="B82" s="19">
        <v>2210</v>
      </c>
      <c r="C82" s="19">
        <v>2550</v>
      </c>
      <c r="D82" s="24">
        <f t="shared" si="2"/>
        <v>5635500</v>
      </c>
      <c r="E82" s="26">
        <v>240975</v>
      </c>
      <c r="F82" s="28">
        <v>128000</v>
      </c>
      <c r="G82" s="27">
        <f t="shared" si="3"/>
        <v>6004475</v>
      </c>
      <c r="H82" s="25">
        <v>85.007999999999996</v>
      </c>
      <c r="I82" s="30">
        <f>IFERROR(_xlfn.XLOOKUP(data1[[#This Row],[Threat_Level]],validation!$A$14:$A$15,validation!$B$14:$B$15),"")</f>
        <v>1.3</v>
      </c>
    </row>
    <row r="83" spans="1:9" x14ac:dyDescent="0.3">
      <c r="A83" s="19" t="str">
        <v>UGV</v>
      </c>
      <c r="B83" s="19">
        <v>1710</v>
      </c>
      <c r="C83" s="19">
        <v>2200</v>
      </c>
      <c r="D83" s="24">
        <f t="shared" si="2"/>
        <v>3762000</v>
      </c>
      <c r="E83" s="26">
        <v>230010.00000000003</v>
      </c>
      <c r="F83" s="28">
        <v>88000</v>
      </c>
      <c r="G83" s="27">
        <f t="shared" si="3"/>
        <v>4080010</v>
      </c>
      <c r="H83" s="25">
        <v>92.162999999999997</v>
      </c>
      <c r="I83" s="30" t="str">
        <f>IFERROR(_xlfn.XLOOKUP(data1[[#This Row],[Threat_Level]],validation!$A$14:$A$15,validation!$B$14:$B$15),"")</f>
        <v/>
      </c>
    </row>
    <row r="84" spans="1:9" x14ac:dyDescent="0.3">
      <c r="A84" s="19" t="str">
        <v>Satellite</v>
      </c>
      <c r="B84" s="19">
        <v>4680</v>
      </c>
      <c r="C84" s="19">
        <v>8200</v>
      </c>
      <c r="D84" s="24">
        <f t="shared" si="2"/>
        <v>38376000</v>
      </c>
      <c r="E84" s="26">
        <v>1802360</v>
      </c>
      <c r="F84" s="28">
        <v>155000</v>
      </c>
      <c r="G84" s="27">
        <f t="shared" si="3"/>
        <v>40333360</v>
      </c>
      <c r="H84" s="25">
        <v>95.615999999999985</v>
      </c>
      <c r="I84" s="30" t="str">
        <f>IFERROR(_xlfn.XLOOKUP(data1[[#This Row],[Threat_Level]],validation!$A$14:$A$15,validation!$B$14:$B$15),"")</f>
        <v/>
      </c>
    </row>
    <row r="85" spans="1:9" x14ac:dyDescent="0.3">
      <c r="A85" s="19" t="str">
        <v>Radar</v>
      </c>
      <c r="B85" s="19">
        <v>3230</v>
      </c>
      <c r="C85" s="19">
        <v>6200</v>
      </c>
      <c r="D85" s="24">
        <f t="shared" si="2"/>
        <v>20026000</v>
      </c>
      <c r="E85" s="26">
        <v>897760.00000000012</v>
      </c>
      <c r="F85" s="28">
        <v>134000</v>
      </c>
      <c r="G85" s="27">
        <f t="shared" si="3"/>
        <v>21057760</v>
      </c>
      <c r="H85" s="25">
        <v>89.635000000000005</v>
      </c>
      <c r="I85" s="30" t="str">
        <f>IFERROR(_xlfn.XLOOKUP(data1[[#This Row],[Threat_Level]],validation!$A$14:$A$15,validation!$B$14:$B$15),"")</f>
        <v/>
      </c>
    </row>
    <row r="86" spans="1:9" x14ac:dyDescent="0.3">
      <c r="A86" s="19" t="str">
        <v>Drone</v>
      </c>
      <c r="B86" s="19">
        <v>1850</v>
      </c>
      <c r="C86" s="19">
        <v>2250</v>
      </c>
      <c r="D86" s="24">
        <f t="shared" si="2"/>
        <v>4162500</v>
      </c>
      <c r="E86" s="26">
        <v>172125</v>
      </c>
      <c r="F86" s="28">
        <v>87000</v>
      </c>
      <c r="G86" s="27">
        <f t="shared" si="3"/>
        <v>4421625</v>
      </c>
      <c r="H86" s="25">
        <v>92.070000000000007</v>
      </c>
      <c r="I86" s="30" t="str">
        <f>IFERROR(_xlfn.XLOOKUP(data1[[#This Row],[Threat_Level]],validation!$A$14:$A$15,validation!$B$14:$B$15),"")</f>
        <v/>
      </c>
    </row>
    <row r="87" spans="1:9" x14ac:dyDescent="0.3">
      <c r="A87" s="19" t="str">
        <v>UGV</v>
      </c>
      <c r="B87" s="19">
        <v>1870</v>
      </c>
      <c r="C87" s="19">
        <v>2600</v>
      </c>
      <c r="D87" s="24">
        <f t="shared" si="2"/>
        <v>4862000</v>
      </c>
      <c r="E87" s="26">
        <v>332280</v>
      </c>
      <c r="F87" s="28">
        <v>138000</v>
      </c>
      <c r="G87" s="27">
        <f t="shared" si="3"/>
        <v>5332280</v>
      </c>
      <c r="H87" s="25">
        <v>80.303999999999988</v>
      </c>
      <c r="I87" s="30">
        <f>IFERROR(_xlfn.XLOOKUP(data1[[#This Row],[Threat_Level]],validation!$A$14:$A$15,validation!$B$14:$B$15),"")</f>
        <v>1.3</v>
      </c>
    </row>
    <row r="88" spans="1:9" x14ac:dyDescent="0.3">
      <c r="A88" s="19" t="str">
        <v>Satellite</v>
      </c>
      <c r="B88" s="19">
        <v>4950</v>
      </c>
      <c r="C88" s="19">
        <v>8350</v>
      </c>
      <c r="D88" s="24">
        <f t="shared" si="2"/>
        <v>41332500</v>
      </c>
      <c r="E88" s="26">
        <v>1940540.0000000002</v>
      </c>
      <c r="F88" s="28">
        <v>168000</v>
      </c>
      <c r="G88" s="27">
        <f t="shared" si="3"/>
        <v>43441040</v>
      </c>
      <c r="H88" s="25">
        <v>97.902000000000001</v>
      </c>
      <c r="I88" s="30" t="str">
        <f>IFERROR(_xlfn.XLOOKUP(data1[[#This Row],[Threat_Level]],validation!$A$14:$A$15,validation!$B$14:$B$15),"")</f>
        <v/>
      </c>
    </row>
    <row r="89" spans="1:9" x14ac:dyDescent="0.3">
      <c r="A89" s="19" t="str">
        <v>Radar</v>
      </c>
      <c r="B89" s="19">
        <v>3290</v>
      </c>
      <c r="C89" s="19">
        <v>6250</v>
      </c>
      <c r="D89" s="24">
        <f t="shared" si="2"/>
        <v>20562500</v>
      </c>
      <c r="E89" s="26">
        <v>927999.99999999988</v>
      </c>
      <c r="F89" s="28">
        <v>137000</v>
      </c>
      <c r="G89" s="27">
        <f t="shared" si="3"/>
        <v>21627500</v>
      </c>
      <c r="H89" s="25">
        <v>90.528000000000006</v>
      </c>
      <c r="I89" s="30" t="str">
        <f>IFERROR(_xlfn.XLOOKUP(data1[[#This Row],[Threat_Level]],validation!$A$14:$A$15,validation!$B$14:$B$15),"")</f>
        <v/>
      </c>
    </row>
    <row r="90" spans="1:9" x14ac:dyDescent="0.3">
      <c r="A90" s="19" t="str">
        <v>Drone</v>
      </c>
      <c r="B90" s="19">
        <v>2240</v>
      </c>
      <c r="C90" s="19">
        <v>2500</v>
      </c>
      <c r="D90" s="24">
        <f t="shared" si="2"/>
        <v>5600000</v>
      </c>
      <c r="E90" s="26">
        <v>243000</v>
      </c>
      <c r="F90" s="28">
        <v>126000</v>
      </c>
      <c r="G90" s="27">
        <f t="shared" si="3"/>
        <v>5969000</v>
      </c>
      <c r="H90" s="25">
        <v>82.731999999999999</v>
      </c>
      <c r="I90" s="30">
        <f>IFERROR(_xlfn.XLOOKUP(data1[[#This Row],[Threat_Level]],validation!$A$14:$A$15,validation!$B$14:$B$15),"")</f>
        <v>1.3</v>
      </c>
    </row>
    <row r="91" spans="1:9" x14ac:dyDescent="0.3">
      <c r="A91" s="19" t="str">
        <v>UGV</v>
      </c>
      <c r="B91" s="19">
        <v>1740</v>
      </c>
      <c r="C91" s="19">
        <v>2150</v>
      </c>
      <c r="D91" s="24">
        <f t="shared" si="2"/>
        <v>3741000</v>
      </c>
      <c r="E91" s="26">
        <v>221127.50000000003</v>
      </c>
      <c r="F91" s="28">
        <v>87000</v>
      </c>
      <c r="G91" s="27">
        <f t="shared" si="3"/>
        <v>4049127.5</v>
      </c>
      <c r="H91" s="25">
        <v>90.988000000000014</v>
      </c>
      <c r="I91" s="30" t="str">
        <f>IFERROR(_xlfn.XLOOKUP(data1[[#This Row],[Threat_Level]],validation!$A$14:$A$15,validation!$B$14:$B$15),"")</f>
        <v/>
      </c>
    </row>
    <row r="92" spans="1:9" x14ac:dyDescent="0.3">
      <c r="A92" s="19" t="str">
        <v>Satellite</v>
      </c>
      <c r="B92" s="19">
        <v>4630</v>
      </c>
      <c r="C92" s="19">
        <v>8100</v>
      </c>
      <c r="D92" s="24">
        <f t="shared" si="2"/>
        <v>37503000</v>
      </c>
      <c r="E92" s="26">
        <v>1763370.0000000002</v>
      </c>
      <c r="F92" s="28">
        <v>150000</v>
      </c>
      <c r="G92" s="27">
        <f t="shared" si="3"/>
        <v>39416370</v>
      </c>
      <c r="H92" s="25">
        <v>94.524999999999991</v>
      </c>
      <c r="I92" s="30" t="str">
        <f>IFERROR(_xlfn.XLOOKUP(data1[[#This Row],[Threat_Level]],validation!$A$14:$A$15,validation!$B$14:$B$15),"")</f>
        <v/>
      </c>
    </row>
    <row r="93" spans="1:9" x14ac:dyDescent="0.3">
      <c r="A93" s="19" t="str">
        <v>Radar</v>
      </c>
      <c r="B93" s="19">
        <v>3340</v>
      </c>
      <c r="C93" s="19">
        <v>6200</v>
      </c>
      <c r="D93" s="24">
        <f t="shared" si="2"/>
        <v>20708000</v>
      </c>
      <c r="E93" s="26">
        <v>937440.00000000012</v>
      </c>
      <c r="F93" s="28">
        <v>135000</v>
      </c>
      <c r="G93" s="27">
        <f t="shared" si="3"/>
        <v>21780440</v>
      </c>
      <c r="H93" s="25">
        <v>87.93</v>
      </c>
      <c r="I93" s="30">
        <f>IFERROR(_xlfn.XLOOKUP(data1[[#This Row],[Threat_Level]],validation!$A$14:$A$15,validation!$B$14:$B$15),"")</f>
        <v>1.3</v>
      </c>
    </row>
    <row r="94" spans="1:9" x14ac:dyDescent="0.3">
      <c r="A94" s="19" t="str">
        <v>Drone</v>
      </c>
      <c r="B94" s="19">
        <v>1840</v>
      </c>
      <c r="C94" s="19">
        <v>2300</v>
      </c>
      <c r="D94" s="24">
        <f t="shared" si="2"/>
        <v>4232000</v>
      </c>
      <c r="E94" s="26">
        <v>173880</v>
      </c>
      <c r="F94" s="28">
        <v>88000</v>
      </c>
      <c r="G94" s="27">
        <f t="shared" si="3"/>
        <v>4493880</v>
      </c>
      <c r="H94" s="25">
        <v>93.341999999999999</v>
      </c>
      <c r="I94" s="30" t="str">
        <f>IFERROR(_xlfn.XLOOKUP(data1[[#This Row],[Threat_Level]],validation!$A$14:$A$15,validation!$B$14:$B$15),"")</f>
        <v/>
      </c>
    </row>
    <row r="95" spans="1:9" x14ac:dyDescent="0.3">
      <c r="A95" s="19" t="str">
        <v>UGV</v>
      </c>
      <c r="B95" s="19">
        <v>1800</v>
      </c>
      <c r="C95" s="19">
        <v>2050</v>
      </c>
      <c r="D95" s="24">
        <f t="shared" si="2"/>
        <v>3690000</v>
      </c>
      <c r="E95" s="26">
        <v>231752.50000000003</v>
      </c>
      <c r="F95" s="28">
        <v>93000</v>
      </c>
      <c r="G95" s="27">
        <f t="shared" si="3"/>
        <v>4014752.5</v>
      </c>
      <c r="H95" s="25">
        <v>84.39</v>
      </c>
      <c r="I95" s="30" t="str">
        <f>IFERROR(_xlfn.XLOOKUP(data1[[#This Row],[Threat_Level]],validation!$A$14:$A$15,validation!$B$14:$B$15),"")</f>
        <v/>
      </c>
    </row>
    <row r="96" spans="1:9" x14ac:dyDescent="0.3">
      <c r="A96" s="19" t="str">
        <v>Satellite</v>
      </c>
      <c r="B96" s="19">
        <v>4880</v>
      </c>
      <c r="C96" s="19">
        <v>8250</v>
      </c>
      <c r="D96" s="24">
        <f t="shared" si="2"/>
        <v>40260000</v>
      </c>
      <c r="E96" s="26">
        <v>1882650.0000000002</v>
      </c>
      <c r="F96" s="28">
        <v>160000</v>
      </c>
      <c r="G96" s="27">
        <f t="shared" si="3"/>
        <v>42302650</v>
      </c>
      <c r="H96" s="25">
        <v>96.805999999999997</v>
      </c>
      <c r="I96" s="30" t="str">
        <f>IFERROR(_xlfn.XLOOKUP(data1[[#This Row],[Threat_Level]],validation!$A$14:$A$15,validation!$B$14:$B$15),"")</f>
        <v/>
      </c>
    </row>
    <row r="97" spans="1:9" x14ac:dyDescent="0.3">
      <c r="A97" s="19" t="str">
        <v>Radar</v>
      </c>
      <c r="B97" s="19">
        <v>3280</v>
      </c>
      <c r="C97" s="19">
        <v>6150</v>
      </c>
      <c r="D97" s="24">
        <f t="shared" si="2"/>
        <v>20172000</v>
      </c>
      <c r="E97" s="26">
        <v>915120.00000000012</v>
      </c>
      <c r="F97" s="28">
        <v>140000</v>
      </c>
      <c r="G97" s="27">
        <f t="shared" si="3"/>
        <v>21227120</v>
      </c>
      <c r="H97" s="25">
        <v>89.453000000000003</v>
      </c>
      <c r="I97" s="30" t="str">
        <f>IFERROR(_xlfn.XLOOKUP(data1[[#This Row],[Threat_Level]],validation!$A$14:$A$15,validation!$B$14:$B$15),"")</f>
        <v/>
      </c>
    </row>
    <row r="98" spans="1:9" x14ac:dyDescent="0.3">
      <c r="A98" s="19" t="str">
        <v>Drone</v>
      </c>
      <c r="B98" s="19">
        <v>2200</v>
      </c>
      <c r="C98" s="19">
        <v>2450</v>
      </c>
      <c r="D98" s="24">
        <f t="shared" si="2"/>
        <v>5390000</v>
      </c>
      <c r="E98" s="26">
        <v>229320</v>
      </c>
      <c r="F98" s="28">
        <v>129000</v>
      </c>
      <c r="G98" s="27">
        <f t="shared" si="3"/>
        <v>5748320</v>
      </c>
      <c r="H98" s="25">
        <v>84.129000000000005</v>
      </c>
      <c r="I98" s="30">
        <f>IFERROR(_xlfn.XLOOKUP(data1[[#This Row],[Threat_Level]],validation!$A$14:$A$15,validation!$B$14:$B$15),"")</f>
        <v>1.3</v>
      </c>
    </row>
    <row r="99" spans="1:9" x14ac:dyDescent="0.3">
      <c r="A99" s="19" t="str">
        <v>UGV</v>
      </c>
      <c r="B99" s="19">
        <v>1720</v>
      </c>
      <c r="C99" s="19">
        <v>2100</v>
      </c>
      <c r="D99" s="24">
        <f t="shared" si="2"/>
        <v>3612000</v>
      </c>
      <c r="E99" s="26">
        <v>221340</v>
      </c>
      <c r="F99" s="28">
        <v>87000</v>
      </c>
      <c r="G99" s="27">
        <f t="shared" si="3"/>
        <v>3920340</v>
      </c>
      <c r="H99" s="25">
        <v>92.162999999999997</v>
      </c>
      <c r="I99" s="30" t="str">
        <f>IFERROR(_xlfn.XLOOKUP(data1[[#This Row],[Threat_Level]],validation!$A$14:$A$15,validation!$B$14:$B$15),"")</f>
        <v/>
      </c>
    </row>
    <row r="100" spans="1:9" x14ac:dyDescent="0.3">
      <c r="A100" s="19" t="str">
        <v>Satellite</v>
      </c>
      <c r="B100" s="19">
        <v>4650</v>
      </c>
      <c r="C100" s="19">
        <v>8200</v>
      </c>
      <c r="D100" s="24">
        <f t="shared" si="2"/>
        <v>38130000</v>
      </c>
      <c r="E100" s="26">
        <v>1779400.0000000002</v>
      </c>
      <c r="F100" s="28">
        <v>150000</v>
      </c>
      <c r="G100" s="27">
        <f t="shared" si="3"/>
        <v>40059400</v>
      </c>
      <c r="H100" s="25">
        <v>95.615999999999985</v>
      </c>
      <c r="I100" s="30" t="str">
        <f>IFERROR(_xlfn.XLOOKUP(data1[[#This Row],[Threat_Level]],validation!$A$14:$A$15,validation!$B$14:$B$15),"")</f>
        <v/>
      </c>
    </row>
    <row r="101" spans="1:9" x14ac:dyDescent="0.3">
      <c r="A101" s="19" t="str">
        <v>Radar</v>
      </c>
      <c r="B101" s="19">
        <v>3320</v>
      </c>
      <c r="C101" s="19">
        <v>6300</v>
      </c>
      <c r="D101" s="24">
        <f t="shared" si="2"/>
        <v>20916000</v>
      </c>
      <c r="E101" s="26">
        <v>947520</v>
      </c>
      <c r="F101" s="28">
        <v>138000</v>
      </c>
      <c r="G101" s="27">
        <f t="shared" si="3"/>
        <v>22001520</v>
      </c>
      <c r="H101" s="25">
        <v>88.02</v>
      </c>
      <c r="I101" s="30">
        <f>IFERROR(_xlfn.XLOOKUP(data1[[#This Row],[Threat_Level]],validation!$A$14:$A$15,validation!$B$14:$B$15),"")</f>
        <v>1.3</v>
      </c>
    </row>
    <row r="102" spans="1:9" x14ac:dyDescent="0.3">
      <c r="A102" t="s">
        <v>208</v>
      </c>
      <c r="G102" s="31">
        <f>SUM(G2:G101)</f>
        <v>1798399479.5</v>
      </c>
      <c r="I102" t="str">
        <f>IFERROR(_xlfn.XLOOKUP(data1[[#This Row],[Threat_Level]],validation!$A$14:$A$15,validation!$B$14:$B$15),"")</f>
        <v/>
      </c>
    </row>
    <row r="103" spans="1:9" x14ac:dyDescent="0.3">
      <c r="I103" t="str">
        <f>IFERROR(_xlfn.XLOOKUP(data1[[#This Row],[Threat_Level]],validation!$A$14:$A$15,validation!$B$14:$B$15),"")</f>
        <v/>
      </c>
    </row>
    <row r="104" spans="1:9" x14ac:dyDescent="0.3">
      <c r="I104" t="str">
        <f>IFERROR(_xlfn.XLOOKUP(data1[[#This Row],[Threat_Level]],validation!$A$14:$A$15,validation!$B$14:$B$15),"")</f>
        <v/>
      </c>
    </row>
    <row r="105" spans="1:9" x14ac:dyDescent="0.3">
      <c r="I105" t="str">
        <f>IFERROR(_xlfn.XLOOKUP(data1[[#This Row],[Threat_Level]],validation!$A$14:$A$15,validation!$B$14:$B$15),"")</f>
        <v/>
      </c>
    </row>
    <row r="106" spans="1:9" x14ac:dyDescent="0.3">
      <c r="I106" t="str">
        <f>IFERROR(_xlfn.XLOOKUP(data1[[#This Row],[Threat_Level]],validation!$A$14:$A$15,validation!$B$14:$B$15),"")</f>
        <v/>
      </c>
    </row>
    <row r="107" spans="1:9" x14ac:dyDescent="0.3">
      <c r="I107" t="str">
        <f>IFERROR(_xlfn.XLOOKUP(data1[[#This Row],[Threat_Level]],validation!$A$14:$A$15,validation!$B$14:$B$15),"")</f>
        <v/>
      </c>
    </row>
    <row r="108" spans="1:9" x14ac:dyDescent="0.3">
      <c r="I108" t="str">
        <f>IFERROR(_xlfn.XLOOKUP(data1[[#This Row],[Threat_Level]],validation!$A$14:$A$15,validation!$B$14:$B$15),"")</f>
        <v/>
      </c>
    </row>
    <row r="109" spans="1:9" x14ac:dyDescent="0.3">
      <c r="I109" t="str">
        <f>IFERROR(_xlfn.XLOOKUP(data1[[#This Row],[Threat_Level]],validation!$A$14:$A$15,validation!$B$14:$B$15),"")</f>
        <v/>
      </c>
    </row>
    <row r="110" spans="1:9" x14ac:dyDescent="0.3">
      <c r="I110" t="str">
        <f>IFERROR(_xlfn.XLOOKUP(data1[[#This Row],[Threat_Level]],validation!$A$14:$A$15,validation!$B$14:$B$15),"")</f>
        <v/>
      </c>
    </row>
    <row r="111" spans="1:9" x14ac:dyDescent="0.3">
      <c r="I111" t="str">
        <f>IFERROR(_xlfn.XLOOKUP(data1[[#This Row],[Threat_Level]],validation!$A$14:$A$15,validation!$B$14:$B$15),"")</f>
        <v/>
      </c>
    </row>
    <row r="112" spans="1:9" x14ac:dyDescent="0.3">
      <c r="I112" t="str">
        <f>IFERROR(_xlfn.XLOOKUP(data1[[#This Row],[Threat_Level]],validation!$A$14:$A$15,validation!$B$14:$B$15),"")</f>
        <v/>
      </c>
    </row>
    <row r="113" spans="9:9" x14ac:dyDescent="0.3">
      <c r="I113" t="str">
        <f>IFERROR(_xlfn.XLOOKUP(data1[[#This Row],[Threat_Level]],validation!$A$14:$A$15,validation!$B$14:$B$15),"")</f>
        <v/>
      </c>
    </row>
    <row r="114" spans="9:9" x14ac:dyDescent="0.3">
      <c r="I114" t="str">
        <f>IFERROR(_xlfn.XLOOKUP(data1[[#This Row],[Threat_Level]],validation!$A$14:$A$15,validation!$B$14:$B$15),"")</f>
        <v/>
      </c>
    </row>
    <row r="115" spans="9:9" x14ac:dyDescent="0.3">
      <c r="I115" t="str">
        <f>IFERROR(_xlfn.XLOOKUP(data1[[#This Row],[Threat_Level]],validation!$A$14:$A$15,validation!$B$14:$B$15),"")</f>
        <v/>
      </c>
    </row>
    <row r="116" spans="9:9" x14ac:dyDescent="0.3">
      <c r="I116" t="str">
        <f>IFERROR(_xlfn.XLOOKUP(data1[[#This Row],[Threat_Level]],validation!$A$14:$A$15,validation!$B$14:$B$15),"")</f>
        <v/>
      </c>
    </row>
    <row r="117" spans="9:9" x14ac:dyDescent="0.3">
      <c r="I117" t="str">
        <f>IFERROR(_xlfn.XLOOKUP(data1[[#This Row],[Threat_Level]],validation!$A$14:$A$15,validation!$B$14:$B$15),"")</f>
        <v/>
      </c>
    </row>
    <row r="118" spans="9:9" x14ac:dyDescent="0.3">
      <c r="I118" t="str">
        <f>IFERROR(_xlfn.XLOOKUP(data1[[#This Row],[Threat_Level]],validation!$A$14:$A$15,validation!$B$14:$B$15),"")</f>
        <v/>
      </c>
    </row>
    <row r="119" spans="9:9" x14ac:dyDescent="0.3">
      <c r="I119" t="str">
        <f>IFERROR(_xlfn.XLOOKUP(data1[[#This Row],[Threat_Level]],validation!$A$14:$A$15,validation!$B$14:$B$15),"")</f>
        <v/>
      </c>
    </row>
    <row r="120" spans="9:9" x14ac:dyDescent="0.3">
      <c r="I120" t="str">
        <f>IFERROR(_xlfn.XLOOKUP(data1[[#This Row],[Threat_Level]],validation!$A$14:$A$15,validation!$B$14:$B$15),"")</f>
        <v/>
      </c>
    </row>
    <row r="121" spans="9:9" x14ac:dyDescent="0.3">
      <c r="I121" t="str">
        <f>IFERROR(_xlfn.XLOOKUP(data1[[#This Row],[Threat_Level]],validation!$A$14:$A$15,validation!$B$14:$B$15),"")</f>
        <v/>
      </c>
    </row>
    <row r="122" spans="9:9" x14ac:dyDescent="0.3">
      <c r="I122" t="str">
        <f>IFERROR(_xlfn.XLOOKUP(data1[[#This Row],[Threat_Level]],validation!$A$14:$A$15,validation!$B$14:$B$15),"")</f>
        <v/>
      </c>
    </row>
    <row r="123" spans="9:9" x14ac:dyDescent="0.3">
      <c r="I123" t="str">
        <f>IFERROR(_xlfn.XLOOKUP(data1[[#This Row],[Threat_Level]],validation!$A$14:$A$15,validation!$B$14:$B$15),"")</f>
        <v/>
      </c>
    </row>
    <row r="124" spans="9:9" x14ac:dyDescent="0.3">
      <c r="I124" t="str">
        <f>IFERROR(_xlfn.XLOOKUP(data1[[#This Row],[Threat_Level]],validation!$A$14:$A$15,validation!$B$14:$B$15),"")</f>
        <v/>
      </c>
    </row>
    <row r="125" spans="9:9" x14ac:dyDescent="0.3">
      <c r="I125" t="str">
        <f>IFERROR(_xlfn.XLOOKUP(data1[[#This Row],[Threat_Level]],validation!$A$14:$A$15,validation!$B$14:$B$15),"")</f>
        <v/>
      </c>
    </row>
    <row r="126" spans="9:9" x14ac:dyDescent="0.3">
      <c r="I126" t="str">
        <f>IFERROR(_xlfn.XLOOKUP(data1[[#This Row],[Threat_Level]],validation!$A$14:$A$15,validation!$B$14:$B$15),"")</f>
        <v/>
      </c>
    </row>
    <row r="127" spans="9:9" x14ac:dyDescent="0.3">
      <c r="I127" t="str">
        <f>IFERROR(_xlfn.XLOOKUP(data1[[#This Row],[Threat_Level]],validation!$A$14:$A$15,validation!$B$14:$B$15),"")</f>
        <v/>
      </c>
    </row>
    <row r="128" spans="9:9" x14ac:dyDescent="0.3">
      <c r="I128" t="str">
        <f>IFERROR(_xlfn.XLOOKUP(data1[[#This Row],[Threat_Level]],validation!$A$14:$A$15,validation!$B$14:$B$15),"")</f>
        <v/>
      </c>
    </row>
    <row r="129" spans="9:9" x14ac:dyDescent="0.3">
      <c r="I129" t="str">
        <f>IFERROR(_xlfn.XLOOKUP(data1[[#This Row],[Threat_Level]],validation!$A$14:$A$15,validation!$B$14:$B$15),"")</f>
        <v/>
      </c>
    </row>
    <row r="130" spans="9:9" x14ac:dyDescent="0.3">
      <c r="I130" t="str">
        <f>IFERROR(_xlfn.XLOOKUP(data1[[#This Row],[Threat_Level]],validation!$A$14:$A$15,validation!$B$14:$B$15),"")</f>
        <v/>
      </c>
    </row>
    <row r="131" spans="9:9" x14ac:dyDescent="0.3">
      <c r="I131" t="str">
        <f>IFERROR(_xlfn.XLOOKUP(data1[[#This Row],[Threat_Level]],validation!$A$14:$A$15,validation!$B$14:$B$15),"")</f>
        <v/>
      </c>
    </row>
    <row r="132" spans="9:9" x14ac:dyDescent="0.3">
      <c r="I132" t="str">
        <f>IFERROR(_xlfn.XLOOKUP(data1[[#This Row],[Threat_Level]],validation!$A$14:$A$15,validation!$B$14:$B$15),"")</f>
        <v/>
      </c>
    </row>
    <row r="133" spans="9:9" x14ac:dyDescent="0.3">
      <c r="I133" t="str">
        <f>IFERROR(_xlfn.XLOOKUP(data1[[#This Row],[Threat_Level]],validation!$A$14:$A$15,validation!$B$14:$B$15),"")</f>
        <v/>
      </c>
    </row>
    <row r="134" spans="9:9" x14ac:dyDescent="0.3">
      <c r="I134" t="str">
        <f>IFERROR(_xlfn.XLOOKUP(data1[[#This Row],[Threat_Level]],validation!$A$14:$A$15,validation!$B$14:$B$15),"")</f>
        <v/>
      </c>
    </row>
    <row r="135" spans="9:9" x14ac:dyDescent="0.3">
      <c r="I135" t="str">
        <f>IFERROR(_xlfn.XLOOKUP(data1[[#This Row],[Threat_Level]],validation!$A$14:$A$15,validation!$B$14:$B$15),"")</f>
        <v/>
      </c>
    </row>
    <row r="136" spans="9:9" x14ac:dyDescent="0.3">
      <c r="I136" t="str">
        <f>IFERROR(_xlfn.XLOOKUP(data1[[#This Row],[Threat_Level]],validation!$A$14:$A$15,validation!$B$14:$B$15),"")</f>
        <v/>
      </c>
    </row>
    <row r="137" spans="9:9" x14ac:dyDescent="0.3">
      <c r="I137" t="str">
        <f>IFERROR(_xlfn.XLOOKUP(data1[[#This Row],[Threat_Level]],validation!$A$14:$A$15,validation!$B$14:$B$15),"")</f>
        <v/>
      </c>
    </row>
    <row r="138" spans="9:9" x14ac:dyDescent="0.3">
      <c r="I138" t="str">
        <f>IFERROR(_xlfn.XLOOKUP(data1[[#This Row],[Threat_Level]],validation!$A$14:$A$15,validation!$B$14:$B$15),"")</f>
        <v/>
      </c>
    </row>
    <row r="139" spans="9:9" x14ac:dyDescent="0.3">
      <c r="I139" t="str">
        <f>IFERROR(_xlfn.XLOOKUP(data1[[#This Row],[Threat_Level]],validation!$A$14:$A$15,validation!$B$14:$B$15),"")</f>
        <v/>
      </c>
    </row>
    <row r="140" spans="9:9" x14ac:dyDescent="0.3">
      <c r="I140" t="str">
        <f>IFERROR(_xlfn.XLOOKUP(data1[[#This Row],[Threat_Level]],validation!$A$14:$A$15,validation!$B$14:$B$15),"")</f>
        <v/>
      </c>
    </row>
    <row r="141" spans="9:9" x14ac:dyDescent="0.3">
      <c r="I141" t="str">
        <f>IFERROR(_xlfn.XLOOKUP(data1[[#This Row],[Threat_Level]],validation!$A$14:$A$15,validation!$B$14:$B$15),"")</f>
        <v/>
      </c>
    </row>
    <row r="142" spans="9:9" x14ac:dyDescent="0.3">
      <c r="I142" t="str">
        <f>IFERROR(_xlfn.XLOOKUP(data1[[#This Row],[Threat_Level]],validation!$A$14:$A$15,validation!$B$14:$B$15),"")</f>
        <v/>
      </c>
    </row>
    <row r="143" spans="9:9" x14ac:dyDescent="0.3">
      <c r="I143" t="str">
        <f>IFERROR(_xlfn.XLOOKUP(data1[[#This Row],[Threat_Level]],validation!$A$14:$A$15,validation!$B$14:$B$15),"")</f>
        <v/>
      </c>
    </row>
    <row r="144" spans="9:9" x14ac:dyDescent="0.3">
      <c r="I144" t="str">
        <f>IFERROR(_xlfn.XLOOKUP(data1[[#This Row],[Threat_Level]],validation!$A$14:$A$15,validation!$B$14:$B$15),"")</f>
        <v/>
      </c>
    </row>
    <row r="145" spans="9:9" x14ac:dyDescent="0.3">
      <c r="I145" t="str">
        <f>IFERROR(_xlfn.XLOOKUP(data1[[#This Row],[Threat_Level]],validation!$A$14:$A$15,validation!$B$14:$B$15),"")</f>
        <v/>
      </c>
    </row>
    <row r="146" spans="9:9" x14ac:dyDescent="0.3">
      <c r="I146" t="str">
        <f>IFERROR(_xlfn.XLOOKUP(data1[[#This Row],[Threat_Level]],validation!$A$14:$A$15,validation!$B$14:$B$15),"")</f>
        <v/>
      </c>
    </row>
    <row r="147" spans="9:9" x14ac:dyDescent="0.3">
      <c r="I147" t="str">
        <f>IFERROR(_xlfn.XLOOKUP(data1[[#This Row],[Threat_Level]],validation!$A$14:$A$15,validation!$B$14:$B$15),"")</f>
        <v/>
      </c>
    </row>
    <row r="148" spans="9:9" x14ac:dyDescent="0.3">
      <c r="I148" t="str">
        <f>IFERROR(_xlfn.XLOOKUP(data1[[#This Row],[Threat_Level]],validation!$A$14:$A$15,validation!$B$14:$B$15),"")</f>
        <v/>
      </c>
    </row>
    <row r="149" spans="9:9" x14ac:dyDescent="0.3">
      <c r="I149" t="str">
        <f>IFERROR(_xlfn.XLOOKUP(data1[[#This Row],[Threat_Level]],validation!$A$14:$A$15,validation!$B$14:$B$15),"")</f>
        <v/>
      </c>
    </row>
    <row r="150" spans="9:9" x14ac:dyDescent="0.3">
      <c r="I150" t="str">
        <f>IFERROR(_xlfn.XLOOKUP(data1[[#This Row],[Threat_Level]],validation!$A$14:$A$15,validation!$B$14:$B$15),"")</f>
        <v/>
      </c>
    </row>
    <row r="151" spans="9:9" x14ac:dyDescent="0.3">
      <c r="I151" t="str">
        <f>IFERROR(_xlfn.XLOOKUP(data1[[#This Row],[Threat_Level]],validation!$A$14:$A$15,validation!$B$14:$B$15),"")</f>
        <v/>
      </c>
    </row>
    <row r="152" spans="9:9" x14ac:dyDescent="0.3">
      <c r="I152" t="str">
        <f>IFERROR(_xlfn.XLOOKUP(data1[[#This Row],[Threat_Level]],validation!$A$14:$A$15,validation!$B$14:$B$15),"")</f>
        <v/>
      </c>
    </row>
    <row r="153" spans="9:9" x14ac:dyDescent="0.3">
      <c r="I153" t="str">
        <f>IFERROR(_xlfn.XLOOKUP(data1[[#This Row],[Threat_Level]],validation!$A$14:$A$15,validation!$B$14:$B$15),"")</f>
        <v/>
      </c>
    </row>
    <row r="154" spans="9:9" x14ac:dyDescent="0.3">
      <c r="I154" t="str">
        <f>IFERROR(_xlfn.XLOOKUP(data1[[#This Row],[Threat_Level]],validation!$A$14:$A$15,validation!$B$14:$B$15),"")</f>
        <v/>
      </c>
    </row>
    <row r="155" spans="9:9" x14ac:dyDescent="0.3">
      <c r="I155" t="str">
        <f>IFERROR(_xlfn.XLOOKUP(data1[[#This Row],[Threat_Level]],validation!$A$14:$A$15,validation!$B$14:$B$15),"")</f>
        <v/>
      </c>
    </row>
    <row r="156" spans="9:9" x14ac:dyDescent="0.3">
      <c r="I156" t="str">
        <f>IFERROR(_xlfn.XLOOKUP(data1[[#This Row],[Threat_Level]],validation!$A$14:$A$15,validation!$B$14:$B$15),"")</f>
        <v/>
      </c>
    </row>
    <row r="157" spans="9:9" x14ac:dyDescent="0.3">
      <c r="I157" t="str">
        <f>IFERROR(_xlfn.XLOOKUP(data1[[#This Row],[Threat_Level]],validation!$A$14:$A$15,validation!$B$14:$B$15),"")</f>
        <v/>
      </c>
    </row>
    <row r="158" spans="9:9" x14ac:dyDescent="0.3">
      <c r="I158" t="str">
        <f>IFERROR(_xlfn.XLOOKUP(data1[[#This Row],[Threat_Level]],validation!$A$14:$A$15,validation!$B$14:$B$15),"")</f>
        <v/>
      </c>
    </row>
    <row r="159" spans="9:9" x14ac:dyDescent="0.3">
      <c r="I159" t="str">
        <f>IFERROR(_xlfn.XLOOKUP(data1[[#This Row],[Threat_Level]],validation!$A$14:$A$15,validation!$B$14:$B$15),"")</f>
        <v/>
      </c>
    </row>
    <row r="160" spans="9:9" x14ac:dyDescent="0.3">
      <c r="I160" t="str">
        <f>IFERROR(_xlfn.XLOOKUP(data1[[#This Row],[Threat_Level]],validation!$A$14:$A$15,validation!$B$14:$B$15),"")</f>
        <v/>
      </c>
    </row>
    <row r="161" spans="9:9" x14ac:dyDescent="0.3">
      <c r="I161" t="str">
        <f>IFERROR(_xlfn.XLOOKUP(data1[[#This Row],[Threat_Level]],validation!$A$14:$A$15,validation!$B$14:$B$15),"")</f>
        <v/>
      </c>
    </row>
    <row r="162" spans="9:9" x14ac:dyDescent="0.3">
      <c r="I162" t="str">
        <f>IFERROR(_xlfn.XLOOKUP(data1[[#This Row],[Threat_Level]],validation!$A$14:$A$15,validation!$B$14:$B$15),"")</f>
        <v/>
      </c>
    </row>
    <row r="163" spans="9:9" x14ac:dyDescent="0.3">
      <c r="I163" t="str">
        <f>IFERROR(_xlfn.XLOOKUP(data1[[#This Row],[Threat_Level]],validation!$A$14:$A$15,validation!$B$14:$B$15),"")</f>
        <v/>
      </c>
    </row>
    <row r="164" spans="9:9" x14ac:dyDescent="0.3">
      <c r="I164" t="str">
        <f>IFERROR(_xlfn.XLOOKUP(data1[[#This Row],[Threat_Level]],validation!$A$14:$A$15,validation!$B$14:$B$15),"")</f>
        <v/>
      </c>
    </row>
    <row r="165" spans="9:9" x14ac:dyDescent="0.3">
      <c r="I165" t="str">
        <f>IFERROR(_xlfn.XLOOKUP(data1[[#This Row],[Threat_Level]],validation!$A$14:$A$15,validation!$B$14:$B$15),"")</f>
        <v/>
      </c>
    </row>
    <row r="166" spans="9:9" x14ac:dyDescent="0.3">
      <c r="I166" t="str">
        <f>IFERROR(_xlfn.XLOOKUP(data1[[#This Row],[Threat_Level]],validation!$A$14:$A$15,validation!$B$14:$B$15),"")</f>
        <v/>
      </c>
    </row>
    <row r="167" spans="9:9" x14ac:dyDescent="0.3">
      <c r="I167" t="str">
        <f>IFERROR(_xlfn.XLOOKUP(data1[[#This Row],[Threat_Level]],validation!$A$14:$A$15,validation!$B$14:$B$15),"")</f>
        <v/>
      </c>
    </row>
    <row r="168" spans="9:9" x14ac:dyDescent="0.3">
      <c r="I168" t="str">
        <f>IFERROR(_xlfn.XLOOKUP(data1[[#This Row],[Threat_Level]],validation!$A$14:$A$15,validation!$B$14:$B$15),"")</f>
        <v/>
      </c>
    </row>
    <row r="169" spans="9:9" x14ac:dyDescent="0.3">
      <c r="I169" t="str">
        <f>IFERROR(_xlfn.XLOOKUP(data1[[#This Row],[Threat_Level]],validation!$A$14:$A$15,validation!$B$14:$B$15),"")</f>
        <v/>
      </c>
    </row>
    <row r="170" spans="9:9" x14ac:dyDescent="0.3">
      <c r="I170" t="str">
        <f>IFERROR(_xlfn.XLOOKUP(data1[[#This Row],[Threat_Level]],validation!$A$14:$A$15,validation!$B$14:$B$15),"")</f>
        <v/>
      </c>
    </row>
    <row r="171" spans="9:9" x14ac:dyDescent="0.3">
      <c r="I171" t="str">
        <f>IFERROR(_xlfn.XLOOKUP(data1[[#This Row],[Threat_Level]],validation!$A$14:$A$15,validation!$B$14:$B$15),"")</f>
        <v/>
      </c>
    </row>
    <row r="172" spans="9:9" x14ac:dyDescent="0.3">
      <c r="I172" t="str">
        <f>IFERROR(_xlfn.XLOOKUP(data1[[#This Row],[Threat_Level]],validation!$A$14:$A$15,validation!$B$14:$B$15),"")</f>
        <v/>
      </c>
    </row>
    <row r="173" spans="9:9" x14ac:dyDescent="0.3">
      <c r="I173" t="str">
        <f>IFERROR(_xlfn.XLOOKUP(data1[[#This Row],[Threat_Level]],validation!$A$14:$A$15,validation!$B$14:$B$15),"")</f>
        <v/>
      </c>
    </row>
    <row r="174" spans="9:9" x14ac:dyDescent="0.3">
      <c r="I174" t="str">
        <f>IFERROR(_xlfn.XLOOKUP(data1[[#This Row],[Threat_Level]],validation!$A$14:$A$15,validation!$B$14:$B$15),"")</f>
        <v/>
      </c>
    </row>
    <row r="175" spans="9:9" x14ac:dyDescent="0.3">
      <c r="I175" t="str">
        <f>IFERROR(_xlfn.XLOOKUP(data1[[#This Row],[Threat_Level]],validation!$A$14:$A$15,validation!$B$14:$B$15),"")</f>
        <v/>
      </c>
    </row>
    <row r="176" spans="9:9" x14ac:dyDescent="0.3">
      <c r="I176" t="str">
        <f>IFERROR(_xlfn.XLOOKUP(data1[[#This Row],[Threat_Level]],validation!$A$14:$A$15,validation!$B$14:$B$15),"")</f>
        <v/>
      </c>
    </row>
    <row r="177" spans="9:9" x14ac:dyDescent="0.3">
      <c r="I177" t="str">
        <f>IFERROR(_xlfn.XLOOKUP(data1[[#This Row],[Threat_Level]],validation!$A$14:$A$15,validation!$B$14:$B$15),"")</f>
        <v/>
      </c>
    </row>
    <row r="178" spans="9:9" x14ac:dyDescent="0.3">
      <c r="I178" t="str">
        <f>IFERROR(_xlfn.XLOOKUP(data1[[#This Row],[Threat_Level]],validation!$A$14:$A$15,validation!$B$14:$B$15),"")</f>
        <v/>
      </c>
    </row>
    <row r="179" spans="9:9" x14ac:dyDescent="0.3">
      <c r="I179" t="str">
        <f>IFERROR(_xlfn.XLOOKUP(data1[[#This Row],[Threat_Level]],validation!$A$14:$A$15,validation!$B$14:$B$15),"")</f>
        <v/>
      </c>
    </row>
    <row r="180" spans="9:9" x14ac:dyDescent="0.3">
      <c r="I180" t="str">
        <f>IFERROR(_xlfn.XLOOKUP(data1[[#This Row],[Threat_Level]],validation!$A$14:$A$15,validation!$B$14:$B$15),"")</f>
        <v/>
      </c>
    </row>
    <row r="181" spans="9:9" x14ac:dyDescent="0.3">
      <c r="I181" t="str">
        <f>IFERROR(_xlfn.XLOOKUP(data1[[#This Row],[Threat_Level]],validation!$A$14:$A$15,validation!$B$14:$B$15),"")</f>
        <v/>
      </c>
    </row>
    <row r="182" spans="9:9" x14ac:dyDescent="0.3">
      <c r="I182" t="str">
        <f>IFERROR(_xlfn.XLOOKUP(data1[[#This Row],[Threat_Level]],validation!$A$14:$A$15,validation!$B$14:$B$15),"")</f>
        <v/>
      </c>
    </row>
    <row r="183" spans="9:9" x14ac:dyDescent="0.3">
      <c r="I183" t="str">
        <f>IFERROR(_xlfn.XLOOKUP(data1[[#This Row],[Threat_Level]],validation!$A$14:$A$15,validation!$B$14:$B$15),"")</f>
        <v/>
      </c>
    </row>
    <row r="184" spans="9:9" x14ac:dyDescent="0.3">
      <c r="I184" t="str">
        <f>IFERROR(_xlfn.XLOOKUP(data1[[#This Row],[Threat_Level]],validation!$A$14:$A$15,validation!$B$14:$B$15),"")</f>
        <v/>
      </c>
    </row>
    <row r="185" spans="9:9" x14ac:dyDescent="0.3">
      <c r="I185" t="str">
        <f>IFERROR(_xlfn.XLOOKUP(data1[[#This Row],[Threat_Level]],validation!$A$14:$A$15,validation!$B$14:$B$15),"")</f>
        <v/>
      </c>
    </row>
    <row r="186" spans="9:9" x14ac:dyDescent="0.3">
      <c r="I186" t="str">
        <f>IFERROR(_xlfn.XLOOKUP(data1[[#This Row],[Threat_Level]],validation!$A$14:$A$15,validation!$B$14:$B$15),"")</f>
        <v/>
      </c>
    </row>
    <row r="187" spans="9:9" x14ac:dyDescent="0.3">
      <c r="I187" t="str">
        <f>IFERROR(_xlfn.XLOOKUP(data1[[#This Row],[Threat_Level]],validation!$A$14:$A$15,validation!$B$14:$B$15),"")</f>
        <v/>
      </c>
    </row>
    <row r="188" spans="9:9" x14ac:dyDescent="0.3">
      <c r="I188" t="str">
        <f>IFERROR(_xlfn.XLOOKUP(data1[[#This Row],[Threat_Level]],validation!$A$14:$A$15,validation!$B$14:$B$15),"")</f>
        <v/>
      </c>
    </row>
    <row r="189" spans="9:9" x14ac:dyDescent="0.3">
      <c r="I189" t="str">
        <f>IFERROR(_xlfn.XLOOKUP(data1[[#This Row],[Threat_Level]],validation!$A$14:$A$15,validation!$B$14:$B$15),"")</f>
        <v/>
      </c>
    </row>
    <row r="190" spans="9:9" x14ac:dyDescent="0.3">
      <c r="I190" t="str">
        <f>IFERROR(_xlfn.XLOOKUP(data1[[#This Row],[Threat_Level]],validation!$A$14:$A$15,validation!$B$14:$B$15),"")</f>
        <v/>
      </c>
    </row>
    <row r="191" spans="9:9" x14ac:dyDescent="0.3">
      <c r="I191" t="str">
        <f>IFERROR(_xlfn.XLOOKUP(data1[[#This Row],[Threat_Level]],validation!$A$14:$A$15,validation!$B$14:$B$15),"")</f>
        <v/>
      </c>
    </row>
    <row r="192" spans="9:9" x14ac:dyDescent="0.3">
      <c r="I192" t="str">
        <f>IFERROR(_xlfn.XLOOKUP(data1[[#This Row],[Threat_Level]],validation!$A$14:$A$15,validation!$B$14:$B$15),"")</f>
        <v/>
      </c>
    </row>
    <row r="193" spans="9:9" x14ac:dyDescent="0.3">
      <c r="I193" t="str">
        <f>IFERROR(_xlfn.XLOOKUP(data1[[#This Row],[Threat_Level]],validation!$A$14:$A$15,validation!$B$14:$B$15),"")</f>
        <v/>
      </c>
    </row>
    <row r="194" spans="9:9" x14ac:dyDescent="0.3">
      <c r="I194" t="str">
        <f>IFERROR(_xlfn.XLOOKUP(data1[[#This Row],[Threat_Level]],validation!$A$14:$A$15,validation!$B$14:$B$15),"")</f>
        <v/>
      </c>
    </row>
    <row r="195" spans="9:9" x14ac:dyDescent="0.3">
      <c r="I195" t="str">
        <f>IFERROR(_xlfn.XLOOKUP(data1[[#This Row],[Threat_Level]],validation!$A$14:$A$15,validation!$B$14:$B$15),"")</f>
        <v/>
      </c>
    </row>
    <row r="196" spans="9:9" x14ac:dyDescent="0.3">
      <c r="I196" t="str">
        <f>IFERROR(_xlfn.XLOOKUP(data1[[#This Row],[Threat_Level]],validation!$A$14:$A$15,validation!$B$14:$B$15),"")</f>
        <v/>
      </c>
    </row>
    <row r="197" spans="9:9" x14ac:dyDescent="0.3">
      <c r="I197" t="str">
        <f>IFERROR(_xlfn.XLOOKUP(data1[[#This Row],[Threat_Level]],validation!$A$14:$A$15,validation!$B$14:$B$15),"")</f>
        <v/>
      </c>
    </row>
    <row r="198" spans="9:9" x14ac:dyDescent="0.3">
      <c r="I198" t="str">
        <f>IFERROR(_xlfn.XLOOKUP(data1[[#This Row],[Threat_Level]],validation!$A$14:$A$15,validation!$B$14:$B$15),"")</f>
        <v/>
      </c>
    </row>
    <row r="199" spans="9:9" x14ac:dyDescent="0.3">
      <c r="I199" t="str">
        <f>IFERROR(_xlfn.XLOOKUP(data1[[#This Row],[Threat_Level]],validation!$A$14:$A$15,validation!$B$14:$B$15),"")</f>
        <v/>
      </c>
    </row>
    <row r="200" spans="9:9" x14ac:dyDescent="0.3">
      <c r="I200" t="str">
        <f>IFERROR(_xlfn.XLOOKUP(data1[[#This Row],[Threat_Level]],validation!$A$14:$A$15,validation!$B$14:$B$15),"")</f>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9FD78-9E41-4BA3-ABF5-D9A52CD3EDFD}">
  <dimension ref="A1:T53"/>
  <sheetViews>
    <sheetView topLeftCell="A49" workbookViewId="0">
      <selection activeCell="A65" sqref="A65"/>
    </sheetView>
  </sheetViews>
  <sheetFormatPr defaultRowHeight="14.4" x14ac:dyDescent="0.3"/>
  <cols>
    <col min="1" max="1" width="12.44140625" bestFit="1" customWidth="1"/>
    <col min="2" max="2" width="33.33203125" bestFit="1" customWidth="1"/>
    <col min="3" max="5" width="12" bestFit="1" customWidth="1"/>
    <col min="6" max="6" width="19.33203125" bestFit="1" customWidth="1"/>
    <col min="7" max="7" width="15.5546875" bestFit="1" customWidth="1"/>
    <col min="8" max="8" width="5.88671875" bestFit="1" customWidth="1"/>
    <col min="9" max="9" width="15.44140625" bestFit="1" customWidth="1"/>
    <col min="10" max="10" width="15.5546875" bestFit="1" customWidth="1"/>
    <col min="11" max="11" width="4.21875" bestFit="1" customWidth="1"/>
    <col min="12" max="12" width="7.77734375" bestFit="1" customWidth="1"/>
    <col min="13" max="13" width="10.5546875" bestFit="1" customWidth="1"/>
    <col min="14" max="14" width="9" bestFit="1" customWidth="1"/>
    <col min="15" max="15" width="10.5546875" bestFit="1" customWidth="1"/>
    <col min="16" max="16" width="12.44140625" bestFit="1" customWidth="1"/>
    <col min="17" max="17" width="29.21875" bestFit="1" customWidth="1"/>
    <col min="18" max="18" width="5" bestFit="1" customWidth="1"/>
    <col min="19" max="19" width="12.44140625" bestFit="1" customWidth="1"/>
    <col min="20" max="20" width="26.44140625" bestFit="1" customWidth="1"/>
    <col min="21" max="49" width="5" bestFit="1" customWidth="1"/>
    <col min="50" max="50" width="10.5546875" bestFit="1" customWidth="1"/>
    <col min="51" max="53" width="5" bestFit="1" customWidth="1"/>
    <col min="54" max="54" width="9.44140625" bestFit="1" customWidth="1"/>
    <col min="55" max="55" width="6.6640625" bestFit="1" customWidth="1"/>
    <col min="56" max="56" width="9.44140625" bestFit="1" customWidth="1"/>
    <col min="57" max="57" width="6.6640625" bestFit="1" customWidth="1"/>
    <col min="58" max="58" width="9.44140625" bestFit="1" customWidth="1"/>
    <col min="59" max="59" width="6.6640625" bestFit="1" customWidth="1"/>
    <col min="60" max="60" width="9.44140625" bestFit="1" customWidth="1"/>
    <col min="61" max="61" width="6.6640625" bestFit="1" customWidth="1"/>
    <col min="62" max="62" width="9.44140625" bestFit="1" customWidth="1"/>
    <col min="63" max="63" width="6.6640625" bestFit="1" customWidth="1"/>
    <col min="64" max="65" width="5" bestFit="1" customWidth="1"/>
    <col min="66" max="66" width="9.44140625" bestFit="1" customWidth="1"/>
    <col min="67" max="67" width="6.6640625" bestFit="1" customWidth="1"/>
    <col min="68" max="70" width="5" bestFit="1" customWidth="1"/>
    <col min="71" max="71" width="9.44140625" bestFit="1" customWidth="1"/>
    <col min="72" max="72" width="6.6640625" bestFit="1" customWidth="1"/>
    <col min="73" max="73" width="5" bestFit="1" customWidth="1"/>
    <col min="74" max="74" width="9.44140625" bestFit="1" customWidth="1"/>
    <col min="75" max="75" width="6.6640625" bestFit="1" customWidth="1"/>
    <col min="76" max="76" width="5" bestFit="1" customWidth="1"/>
    <col min="77" max="77" width="9.44140625" bestFit="1" customWidth="1"/>
    <col min="78" max="78" width="6.6640625" bestFit="1" customWidth="1"/>
    <col min="79" max="79" width="9.44140625" bestFit="1" customWidth="1"/>
    <col min="80" max="80" width="6.6640625" bestFit="1" customWidth="1"/>
    <col min="81" max="81" width="9.44140625" bestFit="1" customWidth="1"/>
    <col min="82" max="82" width="6.6640625" bestFit="1" customWidth="1"/>
    <col min="83" max="83" width="9.44140625" bestFit="1" customWidth="1"/>
    <col min="84" max="84" width="10.5546875" bestFit="1" customWidth="1"/>
  </cols>
  <sheetData>
    <row r="1" spans="1:20" x14ac:dyDescent="0.3">
      <c r="A1" s="11" t="s">
        <v>169</v>
      </c>
      <c r="B1" s="11" t="s">
        <v>168</v>
      </c>
      <c r="I1" s="11" t="s">
        <v>181</v>
      </c>
      <c r="J1" s="11" t="s">
        <v>168</v>
      </c>
      <c r="S1" s="11" t="s">
        <v>166</v>
      </c>
      <c r="T1" t="s">
        <v>170</v>
      </c>
    </row>
    <row r="2" spans="1:20" x14ac:dyDescent="0.3">
      <c r="A2" s="11" t="s">
        <v>166</v>
      </c>
      <c r="B2" t="s">
        <v>15</v>
      </c>
      <c r="C2" t="s">
        <v>33</v>
      </c>
      <c r="D2" t="s">
        <v>28</v>
      </c>
      <c r="E2" t="s">
        <v>39</v>
      </c>
      <c r="F2" t="s">
        <v>167</v>
      </c>
      <c r="I2" s="11" t="s">
        <v>166</v>
      </c>
      <c r="J2" t="s">
        <v>26</v>
      </c>
      <c r="K2" t="s">
        <v>43</v>
      </c>
      <c r="L2" t="s">
        <v>20</v>
      </c>
      <c r="M2" t="s">
        <v>167</v>
      </c>
      <c r="S2" s="12" t="s">
        <v>37</v>
      </c>
      <c r="T2">
        <v>135.66666666666666</v>
      </c>
    </row>
    <row r="3" spans="1:20" x14ac:dyDescent="0.3">
      <c r="A3" s="12" t="s">
        <v>36</v>
      </c>
      <c r="B3">
        <v>0.89666666666666683</v>
      </c>
      <c r="C3">
        <v>0.9</v>
      </c>
      <c r="D3">
        <v>0.97499999999999998</v>
      </c>
      <c r="F3">
        <v>0.91083333333333361</v>
      </c>
      <c r="I3" s="12" t="s">
        <v>15</v>
      </c>
      <c r="J3">
        <v>9</v>
      </c>
      <c r="K3">
        <v>3</v>
      </c>
      <c r="L3">
        <v>4</v>
      </c>
      <c r="M3">
        <v>16</v>
      </c>
      <c r="S3" s="12" t="s">
        <v>46</v>
      </c>
      <c r="T3">
        <v>84.714285714285708</v>
      </c>
    </row>
    <row r="4" spans="1:20" x14ac:dyDescent="0.3">
      <c r="A4" s="12" t="s">
        <v>18</v>
      </c>
      <c r="B4">
        <v>0.89500000000000002</v>
      </c>
      <c r="C4">
        <v>0.90800000000000003</v>
      </c>
      <c r="D4">
        <v>0.95500000000000007</v>
      </c>
      <c r="E4">
        <v>0.8666666666666667</v>
      </c>
      <c r="F4">
        <v>0.90874999999999984</v>
      </c>
      <c r="I4" s="12" t="s">
        <v>33</v>
      </c>
      <c r="J4">
        <v>8</v>
      </c>
      <c r="L4">
        <v>7</v>
      </c>
      <c r="M4">
        <v>15</v>
      </c>
      <c r="S4" s="12" t="s">
        <v>41</v>
      </c>
      <c r="T4">
        <v>259.28571428571428</v>
      </c>
    </row>
    <row r="5" spans="1:20" x14ac:dyDescent="0.3">
      <c r="A5" s="12" t="s">
        <v>24</v>
      </c>
      <c r="B5">
        <v>0.89500000000000002</v>
      </c>
      <c r="C5">
        <v>0.89</v>
      </c>
      <c r="D5">
        <v>0.96</v>
      </c>
      <c r="E5">
        <v>0.84499999999999997</v>
      </c>
      <c r="F5">
        <v>0.90538461538461545</v>
      </c>
      <c r="I5" s="12" t="s">
        <v>28</v>
      </c>
      <c r="K5">
        <v>7</v>
      </c>
      <c r="L5">
        <v>8</v>
      </c>
      <c r="M5">
        <v>15</v>
      </c>
      <c r="S5" s="12" t="s">
        <v>25</v>
      </c>
      <c r="T5">
        <v>245</v>
      </c>
    </row>
    <row r="6" spans="1:20" x14ac:dyDescent="0.3">
      <c r="A6" s="12" t="s">
        <v>30</v>
      </c>
      <c r="B6">
        <v>0.90499999999999992</v>
      </c>
      <c r="C6">
        <v>0.92</v>
      </c>
      <c r="D6">
        <v>0.96799999999999997</v>
      </c>
      <c r="E6">
        <v>0.86</v>
      </c>
      <c r="F6">
        <v>0.92499999999999993</v>
      </c>
      <c r="I6" s="12" t="s">
        <v>39</v>
      </c>
      <c r="J6">
        <v>3</v>
      </c>
      <c r="L6">
        <v>4</v>
      </c>
      <c r="M6">
        <v>7</v>
      </c>
      <c r="S6" s="12" t="s">
        <v>19</v>
      </c>
      <c r="T6">
        <v>177.5</v>
      </c>
    </row>
    <row r="7" spans="1:20" x14ac:dyDescent="0.3">
      <c r="A7" s="12" t="s">
        <v>167</v>
      </c>
      <c r="B7">
        <v>0.89812499999999984</v>
      </c>
      <c r="C7">
        <v>0.90066666666666684</v>
      </c>
      <c r="D7">
        <v>0.96333333333333349</v>
      </c>
      <c r="E7">
        <v>0.85857142857142854</v>
      </c>
      <c r="F7">
        <v>0.91207547169811332</v>
      </c>
      <c r="I7" s="12" t="s">
        <v>167</v>
      </c>
      <c r="J7">
        <v>20</v>
      </c>
      <c r="K7">
        <v>10</v>
      </c>
      <c r="L7">
        <v>23</v>
      </c>
      <c r="M7">
        <v>53</v>
      </c>
      <c r="S7" s="12" t="s">
        <v>31</v>
      </c>
      <c r="T7">
        <v>96.625</v>
      </c>
    </row>
    <row r="8" spans="1:20" x14ac:dyDescent="0.3">
      <c r="S8" s="12" t="s">
        <v>167</v>
      </c>
      <c r="T8">
        <v>162.18867924528303</v>
      </c>
    </row>
    <row r="11" spans="1:20" x14ac:dyDescent="0.3">
      <c r="A11" s="11" t="s">
        <v>166</v>
      </c>
      <c r="B11" t="s">
        <v>177</v>
      </c>
    </row>
    <row r="12" spans="1:20" x14ac:dyDescent="0.3">
      <c r="A12" s="12" t="s">
        <v>15</v>
      </c>
      <c r="B12" s="15">
        <v>107250</v>
      </c>
    </row>
    <row r="13" spans="1:20" x14ac:dyDescent="0.3">
      <c r="A13" s="12" t="s">
        <v>33</v>
      </c>
      <c r="B13" s="15">
        <v>137333.33333333334</v>
      </c>
    </row>
    <row r="14" spans="1:20" x14ac:dyDescent="0.3">
      <c r="A14" s="12" t="s">
        <v>28</v>
      </c>
      <c r="B14" s="15">
        <v>158666.66666666666</v>
      </c>
      <c r="P14" s="11" t="s">
        <v>166</v>
      </c>
      <c r="Q14" t="s">
        <v>171</v>
      </c>
    </row>
    <row r="15" spans="1:20" x14ac:dyDescent="0.3">
      <c r="A15" s="12" t="s">
        <v>39</v>
      </c>
      <c r="B15" s="15">
        <v>107285.71428571429</v>
      </c>
      <c r="I15" s="11" t="s">
        <v>166</v>
      </c>
      <c r="J15" t="s">
        <v>172</v>
      </c>
      <c r="P15" s="12" t="s">
        <v>15</v>
      </c>
      <c r="Q15">
        <v>7575</v>
      </c>
    </row>
    <row r="16" spans="1:20" x14ac:dyDescent="0.3">
      <c r="A16" s="12" t="s">
        <v>167</v>
      </c>
      <c r="B16" s="15">
        <v>130320.75471698113</v>
      </c>
      <c r="I16" s="12" t="s">
        <v>36</v>
      </c>
      <c r="J16">
        <v>12</v>
      </c>
      <c r="P16" s="12" t="s">
        <v>33</v>
      </c>
      <c r="Q16">
        <v>13950</v>
      </c>
    </row>
    <row r="17" spans="1:17" x14ac:dyDescent="0.3">
      <c r="I17" s="12" t="s">
        <v>18</v>
      </c>
      <c r="J17">
        <v>16</v>
      </c>
      <c r="P17" s="12" t="s">
        <v>28</v>
      </c>
      <c r="Q17">
        <v>23810</v>
      </c>
    </row>
    <row r="18" spans="1:17" x14ac:dyDescent="0.3">
      <c r="I18" s="12" t="s">
        <v>24</v>
      </c>
      <c r="J18">
        <v>13</v>
      </c>
      <c r="P18" s="12" t="s">
        <v>39</v>
      </c>
      <c r="Q18">
        <v>4750</v>
      </c>
    </row>
    <row r="19" spans="1:17" x14ac:dyDescent="0.3">
      <c r="A19" s="11" t="s">
        <v>166</v>
      </c>
      <c r="B19" t="s">
        <v>177</v>
      </c>
      <c r="I19" s="12" t="s">
        <v>30</v>
      </c>
      <c r="J19">
        <v>12</v>
      </c>
      <c r="P19" s="12" t="s">
        <v>167</v>
      </c>
      <c r="Q19">
        <v>50085</v>
      </c>
    </row>
    <row r="20" spans="1:17" x14ac:dyDescent="0.3">
      <c r="A20" s="12" t="s">
        <v>15</v>
      </c>
      <c r="B20" s="15">
        <v>107250</v>
      </c>
      <c r="I20" s="12" t="s">
        <v>167</v>
      </c>
      <c r="J20">
        <v>53</v>
      </c>
    </row>
    <row r="21" spans="1:17" x14ac:dyDescent="0.3">
      <c r="A21" s="12" t="s">
        <v>33</v>
      </c>
      <c r="B21" s="15">
        <v>137333.33333333334</v>
      </c>
    </row>
    <row r="22" spans="1:17" x14ac:dyDescent="0.3">
      <c r="A22" s="12" t="s">
        <v>28</v>
      </c>
      <c r="B22" s="15">
        <v>158666.66666666666</v>
      </c>
    </row>
    <row r="23" spans="1:17" x14ac:dyDescent="0.3">
      <c r="A23" s="12" t="s">
        <v>39</v>
      </c>
      <c r="B23" s="15">
        <v>107285.71428571429</v>
      </c>
    </row>
    <row r="24" spans="1:17" x14ac:dyDescent="0.3">
      <c r="A24" s="12" t="s">
        <v>167</v>
      </c>
      <c r="B24" s="15">
        <v>130320.75471698113</v>
      </c>
    </row>
    <row r="26" spans="1:17" x14ac:dyDescent="0.3">
      <c r="F26" s="11" t="s">
        <v>176</v>
      </c>
      <c r="G26" s="11" t="s">
        <v>168</v>
      </c>
    </row>
    <row r="27" spans="1:17" x14ac:dyDescent="0.3">
      <c r="F27" s="11" t="s">
        <v>166</v>
      </c>
      <c r="G27" t="s">
        <v>15</v>
      </c>
      <c r="H27" t="s">
        <v>33</v>
      </c>
      <c r="I27" t="s">
        <v>28</v>
      </c>
      <c r="J27" t="s">
        <v>39</v>
      </c>
      <c r="K27" t="s">
        <v>167</v>
      </c>
    </row>
    <row r="28" spans="1:17" x14ac:dyDescent="0.3">
      <c r="F28" s="12" t="s">
        <v>173</v>
      </c>
      <c r="G28">
        <v>13</v>
      </c>
      <c r="H28">
        <v>12</v>
      </c>
      <c r="I28">
        <v>12</v>
      </c>
      <c r="J28">
        <v>6</v>
      </c>
      <c r="K28">
        <v>43</v>
      </c>
    </row>
    <row r="29" spans="1:17" x14ac:dyDescent="0.3">
      <c r="F29" s="13" t="s">
        <v>174</v>
      </c>
      <c r="G29">
        <v>5</v>
      </c>
      <c r="H29">
        <v>3</v>
      </c>
      <c r="I29">
        <v>3</v>
      </c>
      <c r="J29">
        <v>1</v>
      </c>
      <c r="K29">
        <v>12</v>
      </c>
    </row>
    <row r="30" spans="1:17" x14ac:dyDescent="0.3">
      <c r="F30" s="13" t="s">
        <v>175</v>
      </c>
      <c r="G30">
        <v>2</v>
      </c>
      <c r="H30">
        <v>3</v>
      </c>
      <c r="I30">
        <v>3</v>
      </c>
      <c r="J30">
        <v>2</v>
      </c>
      <c r="K30">
        <v>10</v>
      </c>
    </row>
    <row r="31" spans="1:17" x14ac:dyDescent="0.3">
      <c r="F31" s="13" t="s">
        <v>179</v>
      </c>
      <c r="G31">
        <v>3</v>
      </c>
      <c r="H31">
        <v>3</v>
      </c>
      <c r="I31">
        <v>3</v>
      </c>
      <c r="J31">
        <v>1</v>
      </c>
      <c r="K31">
        <v>10</v>
      </c>
    </row>
    <row r="32" spans="1:17" x14ac:dyDescent="0.3">
      <c r="F32" s="13" t="s">
        <v>178</v>
      </c>
      <c r="G32">
        <v>3</v>
      </c>
      <c r="H32">
        <v>3</v>
      </c>
      <c r="I32">
        <v>3</v>
      </c>
      <c r="J32">
        <v>2</v>
      </c>
      <c r="K32">
        <v>11</v>
      </c>
    </row>
    <row r="33" spans="1:11" x14ac:dyDescent="0.3">
      <c r="F33" s="12" t="s">
        <v>180</v>
      </c>
      <c r="G33">
        <v>3</v>
      </c>
      <c r="H33">
        <v>3</v>
      </c>
      <c r="I33">
        <v>3</v>
      </c>
      <c r="J33">
        <v>1</v>
      </c>
      <c r="K33">
        <v>10</v>
      </c>
    </row>
    <row r="34" spans="1:11" x14ac:dyDescent="0.3">
      <c r="F34" s="13" t="s">
        <v>174</v>
      </c>
      <c r="G34">
        <v>3</v>
      </c>
      <c r="H34">
        <v>3</v>
      </c>
      <c r="I34">
        <v>3</v>
      </c>
      <c r="J34">
        <v>1</v>
      </c>
      <c r="K34">
        <v>10</v>
      </c>
    </row>
    <row r="35" spans="1:11" x14ac:dyDescent="0.3">
      <c r="F35" s="12" t="s">
        <v>167</v>
      </c>
      <c r="G35">
        <v>16</v>
      </c>
      <c r="H35">
        <v>15</v>
      </c>
      <c r="I35">
        <v>15</v>
      </c>
      <c r="J35">
        <v>7</v>
      </c>
      <c r="K35">
        <v>53</v>
      </c>
    </row>
    <row r="40" spans="1:11" x14ac:dyDescent="0.3">
      <c r="A40" s="11" t="s">
        <v>166</v>
      </c>
      <c r="B40" t="s">
        <v>182</v>
      </c>
    </row>
    <row r="41" spans="1:11" x14ac:dyDescent="0.3">
      <c r="A41" s="12" t="s">
        <v>15</v>
      </c>
      <c r="B41" s="15">
        <v>75550000</v>
      </c>
    </row>
    <row r="42" spans="1:11" x14ac:dyDescent="0.3">
      <c r="A42" s="13" t="s">
        <v>173</v>
      </c>
      <c r="B42" s="15">
        <v>60950000</v>
      </c>
    </row>
    <row r="43" spans="1:11" x14ac:dyDescent="0.3">
      <c r="A43" s="13" t="s">
        <v>180</v>
      </c>
      <c r="B43" s="15">
        <v>14600000</v>
      </c>
    </row>
    <row r="44" spans="1:11" x14ac:dyDescent="0.3">
      <c r="A44" s="12" t="s">
        <v>33</v>
      </c>
      <c r="B44" s="15">
        <v>111500000</v>
      </c>
    </row>
    <row r="45" spans="1:11" x14ac:dyDescent="0.3">
      <c r="A45" s="13" t="s">
        <v>173</v>
      </c>
      <c r="B45" s="15">
        <v>89150000</v>
      </c>
    </row>
    <row r="46" spans="1:11" x14ac:dyDescent="0.3">
      <c r="A46" s="13" t="s">
        <v>180</v>
      </c>
      <c r="B46" s="15">
        <v>22350000</v>
      </c>
    </row>
    <row r="47" spans="1:11" x14ac:dyDescent="0.3">
      <c r="A47" s="12" t="s">
        <v>28</v>
      </c>
      <c r="B47" s="15">
        <v>139700000</v>
      </c>
    </row>
    <row r="48" spans="1:11" x14ac:dyDescent="0.3">
      <c r="A48" s="13" t="s">
        <v>173</v>
      </c>
      <c r="B48" s="15">
        <v>111850000</v>
      </c>
    </row>
    <row r="49" spans="1:2" x14ac:dyDescent="0.3">
      <c r="A49" s="13" t="s">
        <v>180</v>
      </c>
      <c r="B49" s="15">
        <v>27850000</v>
      </c>
    </row>
    <row r="50" spans="1:2" x14ac:dyDescent="0.3">
      <c r="A50" s="12" t="s">
        <v>39</v>
      </c>
      <c r="B50" s="15">
        <v>29600000</v>
      </c>
    </row>
    <row r="51" spans="1:2" x14ac:dyDescent="0.3">
      <c r="A51" s="13" t="s">
        <v>173</v>
      </c>
      <c r="B51" s="15">
        <v>25750000</v>
      </c>
    </row>
    <row r="52" spans="1:2" x14ac:dyDescent="0.3">
      <c r="A52" s="13" t="s">
        <v>180</v>
      </c>
      <c r="B52" s="15">
        <v>3850000</v>
      </c>
    </row>
    <row r="53" spans="1:2" x14ac:dyDescent="0.3">
      <c r="A53" s="12" t="s">
        <v>167</v>
      </c>
      <c r="B53" s="15">
        <v>356350000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61B9435-6594-40B9-A7F5-5DCBE4A61F01}">
  <ds:schemaRefs/>
</ds:datastoreItem>
</file>

<file path=customXml/itemProps2.xml><?xml version="1.0" encoding="utf-8"?>
<ds:datastoreItem xmlns:ds="http://schemas.openxmlformats.org/officeDocument/2006/customXml" ds:itemID="{BAB8F110-69F1-4C03-905F-0988D936AE45}">
  <ds:schemaRefs>
    <ds:schemaRef ds:uri="http://www.w3.org/2001/XMLSchema"/>
    <ds:schemaRef ds:uri="http://microsoft.data.visualization.Client.Excel.CustomMapList/1.0"/>
  </ds:schemaRefs>
</ds:datastoreItem>
</file>

<file path=customXml/itemProps3.xml><?xml version="1.0" encoding="utf-8"?>
<ds:datastoreItem xmlns:ds="http://schemas.openxmlformats.org/officeDocument/2006/customXml" ds:itemID="{BA15EDC0-61F6-41D9-B66E-1F8355F432AC}">
  <ds:schemaRefs/>
</ds:datastoreItem>
</file>

<file path=customXml/itemProps4.xml><?xml version="1.0" encoding="utf-8"?>
<ds:datastoreItem xmlns:ds="http://schemas.openxmlformats.org/officeDocument/2006/customXml" ds:itemID="{87FE4E08-25F1-4DB2-B037-0E25A6FCED28}">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78F94323-5AAE-450A-A7E1-DEA06D5E402F}">
  <ds:schemaRefs/>
</ds:datastoreItem>
</file>

<file path=customXml/itemProps6.xml><?xml version="1.0" encoding="utf-8"?>
<ds:datastoreItem xmlns:ds="http://schemas.openxmlformats.org/officeDocument/2006/customXml" ds:itemID="{FA66430E-ECEB-4E0E-9A82-8141EAFB3568}">
  <ds:schemaRefs/>
</ds:datastoreItem>
</file>

<file path=customXml/itemProps7.xml><?xml version="1.0" encoding="utf-8"?>
<ds:datastoreItem xmlns:ds="http://schemas.openxmlformats.org/officeDocument/2006/customXml" ds:itemID="{11232C9A-AA6E-4301-B212-B253168C7649}">
  <ds:schemaRefs/>
</ds:datastoreItem>
</file>

<file path=customXml/itemProps8.xml><?xml version="1.0" encoding="utf-8"?>
<ds:datastoreItem xmlns:ds="http://schemas.openxmlformats.org/officeDocument/2006/customXml" ds:itemID="{C957215F-0181-432D-94F0-174199F2E92E}">
  <ds:schemaRefs/>
</ds:datastoreItem>
</file>

<file path=customXml/itemProps9.xml><?xml version="1.0" encoding="utf-8"?>
<ds:datastoreItem xmlns:ds="http://schemas.openxmlformats.org/officeDocument/2006/customXml" ds:itemID="{FDE7220F-CF57-492F-91D0-1EE7D495539C}">
  <ds:schemaRefs/>
</ds:datastoreItem>
</file>

<file path=customXml/itemProps10.xml><?xml version="1.0" encoding="utf-8"?>
<ds:datastoreItem xmlns:ds="http://schemas.openxmlformats.org/officeDocument/2006/customXml" ds:itemID="{99BB9A46-AC68-46DB-8DF9-3FEB2DCA331A}">
  <ds:schemaRefs/>
</ds:datastoreItem>
</file>

<file path=customXml/itemProps11.xml><?xml version="1.0" encoding="utf-8"?>
<ds:datastoreItem xmlns:ds="http://schemas.openxmlformats.org/officeDocument/2006/customXml" ds:itemID="{9885B838-75DF-4659-83EA-7C890E3AFD0A}">
  <ds:schemaRefs/>
</ds:datastoreItem>
</file>

<file path=customXml/itemProps12.xml><?xml version="1.0" encoding="utf-8"?>
<ds:datastoreItem xmlns:ds="http://schemas.openxmlformats.org/officeDocument/2006/customXml" ds:itemID="{E52B68E1-F9C5-4245-B5B1-61A588907501}">
  <ds:schemaRefs/>
</ds:datastoreItem>
</file>

<file path=customXml/itemProps13.xml><?xml version="1.0" encoding="utf-8"?>
<ds:datastoreItem xmlns:ds="http://schemas.openxmlformats.org/officeDocument/2006/customXml" ds:itemID="{9779639F-044F-4AED-8784-B2DF6EA90C4A}">
  <ds:schemaRefs/>
</ds:datastoreItem>
</file>

<file path=customXml/itemProps14.xml><?xml version="1.0" encoding="utf-8"?>
<ds:datastoreItem xmlns:ds="http://schemas.openxmlformats.org/officeDocument/2006/customXml" ds:itemID="{9A3509BD-413A-44DF-AB9B-AC13DD12FF09}">
  <ds:schemaRefs/>
</ds:datastoreItem>
</file>

<file path=customXml/itemProps15.xml><?xml version="1.0" encoding="utf-8"?>
<ds:datastoreItem xmlns:ds="http://schemas.openxmlformats.org/officeDocument/2006/customXml" ds:itemID="{D2A13FB7-D5C3-423A-AFA8-2565F360CDF3}">
  <ds:schemaRefs/>
</ds:datastoreItem>
</file>

<file path=customXml/itemProps16.xml><?xml version="1.0" encoding="utf-8"?>
<ds:datastoreItem xmlns:ds="http://schemas.openxmlformats.org/officeDocument/2006/customXml" ds:itemID="{21FF0143-274C-401F-A634-11FEEDB2D0EA}">
  <ds:schemaRefs/>
</ds:datastoreItem>
</file>

<file path=customXml/itemProps17.xml><?xml version="1.0" encoding="utf-8"?>
<ds:datastoreItem xmlns:ds="http://schemas.openxmlformats.org/officeDocument/2006/customXml" ds:itemID="{9981C8EB-0936-46D8-89A3-34FBAD0AB554}">
  <ds:schemaRefs/>
</ds:datastoreItem>
</file>

<file path=customXml/itemProps18.xml><?xml version="1.0" encoding="utf-8"?>
<ds:datastoreItem xmlns:ds="http://schemas.openxmlformats.org/officeDocument/2006/customXml" ds:itemID="{A39DA72F-7303-47DC-BFBD-CE1F7D11A22D}">
  <ds:schemaRefs>
    <ds:schemaRef ds:uri="http://www.w3.org/2001/XMLSchema"/>
    <ds:schemaRef ds:uri="http://microsoft.data.visualization.Client.Excel/1.0"/>
  </ds:schemaRefs>
</ds:datastoreItem>
</file>

<file path=customXml/itemProps19.xml><?xml version="1.0" encoding="utf-8"?>
<ds:datastoreItem xmlns:ds="http://schemas.openxmlformats.org/officeDocument/2006/customXml" ds:itemID="{4E824828-9BF9-4E55-96B1-862B777AC9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raw_data</vt:lpstr>
      <vt:lpstr>program_cost_model</vt:lpstr>
      <vt:lpstr>Intro</vt:lpstr>
      <vt:lpstr>Dashboard</vt:lpstr>
      <vt:lpstr>scenario_multipliers</vt:lpstr>
      <vt:lpstr>validation</vt:lpstr>
      <vt:lpstr>Scenario Analysis</vt:lpstr>
      <vt:lpstr>Calcul</vt:lpstr>
      <vt:lpstr>pivots</vt:lpstr>
      <vt:lpstr>data</vt:lpstr>
      <vt:lpstr>Datatable</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 silini</dc:creator>
  <cp:lastModifiedBy>rim silini</cp:lastModifiedBy>
  <dcterms:created xsi:type="dcterms:W3CDTF">2026-02-07T12:43:54Z</dcterms:created>
  <dcterms:modified xsi:type="dcterms:W3CDTF">2026-04-18T11:40:47Z</dcterms:modified>
</cp:coreProperties>
</file>